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 UNIDAD SEGUROS\LLENARFUA\"/>
    </mc:Choice>
  </mc:AlternateContent>
  <xr:revisionPtr revIDLastSave="0" documentId="13_ncr:1_{8068BDB8-1E01-469C-82D9-C734CF696D0C}" xr6:coauthVersionLast="47" xr6:coauthVersionMax="47" xr10:uidLastSave="{00000000-0000-0000-0000-000000000000}"/>
  <bookViews>
    <workbookView xWindow="28680" yWindow="-120" windowWidth="20730" windowHeight="11040" xr2:uid="{00000000-000D-0000-FFFF-FFFF00000000}"/>
  </bookViews>
  <sheets>
    <sheet name="GENERAL" sheetId="18" r:id="rId1"/>
    <sheet name="Hoja1" sheetId="19" r:id="rId2"/>
    <sheet name="SER" sheetId="13" r:id="rId3"/>
  </sheets>
  <definedNames>
    <definedName name="_xlnm._FilterDatabase" localSheetId="0" hidden="1">GENERAL!$A$1:$N$51</definedName>
    <definedName name="_xlnm._FilterDatabase" localSheetId="2" hidden="1">SER!$A$1:$C$179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 i="18" l="1"/>
  <c r="C17" i="18" l="1"/>
  <c r="C49" i="18" l="1"/>
  <c r="D49" i="18" l="1"/>
  <c r="D48" i="18" l="1"/>
  <c r="C48" i="18"/>
  <c r="D47" i="18" l="1"/>
  <c r="C47" i="18"/>
  <c r="D46" i="18"/>
  <c r="C46" i="18"/>
  <c r="D45" i="18"/>
  <c r="C45" i="18"/>
  <c r="D44" i="18"/>
  <c r="C44" i="18"/>
  <c r="D41" i="18"/>
  <c r="C41" i="18"/>
  <c r="D42" i="18" l="1"/>
  <c r="D43" i="18"/>
  <c r="C43" i="18"/>
  <c r="D40" i="18" l="1"/>
  <c r="C40" i="18"/>
  <c r="D39" i="18"/>
  <c r="C39" i="18"/>
  <c r="D38" i="18"/>
  <c r="C38" i="18"/>
  <c r="D37" i="18"/>
  <c r="C37" i="18"/>
  <c r="D36" i="18"/>
  <c r="C36" i="18"/>
  <c r="D35" i="18"/>
  <c r="C35" i="18"/>
  <c r="D34" i="18"/>
  <c r="C34" i="18"/>
  <c r="D33" i="18" l="1"/>
  <c r="C33" i="18"/>
  <c r="D32" i="18"/>
  <c r="C32" i="18"/>
  <c r="D31" i="18"/>
  <c r="C31" i="18"/>
  <c r="D30" i="18"/>
  <c r="C30" i="18"/>
  <c r="D29" i="18"/>
  <c r="C29" i="18"/>
  <c r="D28" i="18"/>
  <c r="C28" i="18"/>
  <c r="D27" i="18"/>
  <c r="C27" i="18"/>
  <c r="D26" i="18"/>
  <c r="C26" i="18"/>
  <c r="D25" i="18"/>
  <c r="C25" i="18"/>
  <c r="D24" i="18"/>
  <c r="C24" i="18"/>
  <c r="D23" i="18"/>
  <c r="C23" i="18"/>
  <c r="D22" i="18"/>
  <c r="C22" i="18"/>
  <c r="D21" i="18"/>
  <c r="C21" i="18"/>
  <c r="D20" i="18"/>
  <c r="C20" i="18"/>
  <c r="D19" i="18"/>
  <c r="C19" i="18"/>
  <c r="D18" i="18"/>
  <c r="C18" i="18"/>
  <c r="D17" i="18"/>
  <c r="D16" i="18" l="1"/>
  <c r="C16" i="18"/>
  <c r="D15" i="18" l="1"/>
  <c r="C15" i="18"/>
  <c r="D14" i="18"/>
  <c r="C14" i="18"/>
  <c r="D13" i="18"/>
  <c r="C13" i="18"/>
  <c r="D12" i="18"/>
  <c r="C12" i="18"/>
  <c r="D11" i="18"/>
  <c r="C11" i="18"/>
  <c r="D10" i="18" l="1"/>
  <c r="C10" i="18"/>
  <c r="D5" i="18" l="1"/>
  <c r="C5" i="18"/>
  <c r="D4" i="18"/>
  <c r="C4" i="18"/>
  <c r="C2" i="18" l="1"/>
  <c r="C3" i="18"/>
  <c r="D2" i="18"/>
  <c r="D3" i="18" l="1"/>
  <c r="D6" i="18" l="1"/>
  <c r="C6" i="18"/>
  <c r="D8" i="18" l="1"/>
  <c r="C8" i="18"/>
  <c r="D9" i="18" l="1"/>
  <c r="C9" i="18"/>
  <c r="D7" i="18" l="1"/>
  <c r="C7" i="18"/>
</calcChain>
</file>

<file path=xl/sharedStrings.xml><?xml version="1.0" encoding="utf-8"?>
<sst xmlns="http://schemas.openxmlformats.org/spreadsheetml/2006/main" count="1088" uniqueCount="670">
  <si>
    <t>Control de crecimiento y desarrollo en menores de 0 - 4 años</t>
  </si>
  <si>
    <t>Profilaxis antiparasitaria</t>
  </si>
  <si>
    <t>Atención prenatal</t>
  </si>
  <si>
    <t>Atención del puerperio normal</t>
  </si>
  <si>
    <t>Exámenes de ecografía obstétrica</t>
  </si>
  <si>
    <t>Diagnóstico del embarazo</t>
  </si>
  <si>
    <t>Salud reproductiva (planificación familiar)</t>
  </si>
  <si>
    <t>Detección trastorno agudeza visual y ceguera</t>
  </si>
  <si>
    <t>Salud Bucal</t>
  </si>
  <si>
    <t>Prevencion de caries</t>
  </si>
  <si>
    <t>Detección de problemas en Salud Mental</t>
  </si>
  <si>
    <t>Deteccion precoz de cancer de prostata (PSA)</t>
  </si>
  <si>
    <t>Detección precoz de cancer de mama (Mamografía)</t>
  </si>
  <si>
    <t>Tratamiento profilactico a niños expuestos al VIH</t>
  </si>
  <si>
    <t>Detección precoz de Hipotiroidismo Congénito</t>
  </si>
  <si>
    <t>Tamizaje Neonatal</t>
  </si>
  <si>
    <t>Atención inmediata del recién nacido normal</t>
  </si>
  <si>
    <t>Internamiento del RN con patología no quirurgica</t>
  </si>
  <si>
    <t>Internamiento con intervención quirúrgica del RN</t>
  </si>
  <si>
    <t>Atención de parto vaginal</t>
  </si>
  <si>
    <t>Cesárea</t>
  </si>
  <si>
    <t>Consulta externa</t>
  </si>
  <si>
    <t>Obturación y curación dental simple</t>
  </si>
  <si>
    <t>Obturación y curación dental compuesta</t>
  </si>
  <si>
    <t>Extracción dental (exodoncia)</t>
  </si>
  <si>
    <t>Atención extramural urbana y perurbana (Visita domiciliaria)</t>
  </si>
  <si>
    <t>Atención en tópico</t>
  </si>
  <si>
    <t>Atención por emergencia</t>
  </si>
  <si>
    <t>Atención por emergencia con observación</t>
  </si>
  <si>
    <t>Internamiento en EESS sin intervención quirúrgica</t>
  </si>
  <si>
    <t>Internamiento con intervención quirúrgica menor</t>
  </si>
  <si>
    <t>Internamiento con intervención quirúrgica mayor</t>
  </si>
  <si>
    <t>Atención odontológica especializada</t>
  </si>
  <si>
    <t>Apoyo al diagnóstico</t>
  </si>
  <si>
    <t>Tratamiento de ITS en adolescentes, adultos y adultos mayores</t>
  </si>
  <si>
    <t>Atención extramural rural (Visita domiciliaria)</t>
  </si>
  <si>
    <t>Traslado de Emergencia</t>
  </si>
  <si>
    <t>Control de crecimiento y desarrollo en menores de 5 - 9 años</t>
  </si>
  <si>
    <t>Control de crecimiento y desarrollo en menores de 10 - 12 años</t>
  </si>
  <si>
    <t>Atención de rehabilitación (post fractura y/o post esguince)</t>
  </si>
  <si>
    <t>Apoyo al Tratamiento</t>
  </si>
  <si>
    <t>Atención Preconcepcional</t>
  </si>
  <si>
    <t>Atención Integral de Salud del Adulto Mayor</t>
  </si>
  <si>
    <t>Complementario</t>
  </si>
  <si>
    <t>Salud Escolar</t>
  </si>
  <si>
    <t>Control de puerperio</t>
  </si>
  <si>
    <t>Consulta Médica Especializada</t>
  </si>
  <si>
    <t>Atención Psicológica</t>
  </si>
  <si>
    <t>Traslado Emerg. Urbano y/o Periurbano Terrestre</t>
  </si>
  <si>
    <t>Internamiento RN c/ intervencion Qx</t>
  </si>
  <si>
    <t>Control del RN de bajo peso al nacer</t>
  </si>
  <si>
    <t>Exámen inmunológico de recién nacido de madre VIH positivo</t>
  </si>
  <si>
    <t>Exámen inmunológico RN de madre RPR +</t>
  </si>
  <si>
    <t>Traslado Emerg. Regional Fluvial</t>
  </si>
  <si>
    <t>Traslado Emerg. Nacional Terrestre</t>
  </si>
  <si>
    <t>Traslado Emerg. Nacional Aéreo</t>
  </si>
  <si>
    <t>Traslado Emerg. Urbano y/o Periurbano Fluvial</t>
  </si>
  <si>
    <t>Traslado Emerg. Regional Terrestre</t>
  </si>
  <si>
    <t>Traslado de Emergencia peri urbano</t>
  </si>
  <si>
    <t>Traslado de Emergencia Rural costa</t>
  </si>
  <si>
    <t>Traslado de Emergencia Rural sierra selva</t>
  </si>
  <si>
    <t>Traslado nacional (niños 0 - 4 años)</t>
  </si>
  <si>
    <t>Traslado nacional</t>
  </si>
  <si>
    <t>Sepelio</t>
  </si>
  <si>
    <t>Traslado Urbano (HNeIE)</t>
  </si>
  <si>
    <t>Traslado de Emergencia Nacional (con acompañante)</t>
  </si>
  <si>
    <t>Traslado ambulatorio rural</t>
  </si>
  <si>
    <t>Examen Odontoestomatológico</t>
  </si>
  <si>
    <t>Tratamiento VIH-SIDA en Adultos</t>
  </si>
  <si>
    <t>Detección de Neoplasia Próstata (PSA)</t>
  </si>
  <si>
    <t>Inmunizaciones</t>
  </si>
  <si>
    <t>Estancia en casa de espera</t>
  </si>
  <si>
    <t>Exámen inmunológico de recién nacido de madre RPR positivo</t>
  </si>
  <si>
    <t>Control del recién nacido de bajo peso al nacer</t>
  </si>
  <si>
    <t>Tratamiento de VIH-SIDA en niños</t>
  </si>
  <si>
    <t>Control Pre Natal de embarazos ARO</t>
  </si>
  <si>
    <t>Atención de Enfermería</t>
  </si>
  <si>
    <t>Atención de Obstetriz</t>
  </si>
  <si>
    <t>Exámen Radiológico Simple</t>
  </si>
  <si>
    <t>Exámenes Bioquímicos</t>
  </si>
  <si>
    <t>Exámenes Hematológicos</t>
  </si>
  <si>
    <t>Exámenes Inmunológicos</t>
  </si>
  <si>
    <t>Exámenes Microbiológicos</t>
  </si>
  <si>
    <t>Examén de VIH</t>
  </si>
  <si>
    <t>Dopler</t>
  </si>
  <si>
    <t>Ecocardiografía</t>
  </si>
  <si>
    <t>Hemodiálisis (Agudos)</t>
  </si>
  <si>
    <t>Mamografía</t>
  </si>
  <si>
    <t>Preventivo</t>
  </si>
  <si>
    <t>Ex. inmunologico del niño nacido de madre VIH+ (*)</t>
  </si>
  <si>
    <t>Ex. Inmunologico de niño nacido de madre RPR o VDRL+</t>
  </si>
  <si>
    <t>Suplemento de micronutrientes</t>
  </si>
  <si>
    <t>Atención Integral de Salud en niños</t>
  </si>
  <si>
    <t>Consejería nutricional niños en riesgo</t>
  </si>
  <si>
    <t>Suplemento de Hierro</t>
  </si>
  <si>
    <t>Tratamiento Antiparasitario</t>
  </si>
  <si>
    <t>Atención Integral del nño</t>
  </si>
  <si>
    <t>Consejería nutricional niños en riesgo/en desnutrición</t>
  </si>
  <si>
    <t>Atenc.Integral del adolescente</t>
  </si>
  <si>
    <t>Exámen Inmunológico Niño de Madre VIH+</t>
  </si>
  <si>
    <t>Exámen Inmunológico a niño de Madre RPR+</t>
  </si>
  <si>
    <t>Control Pre Natal</t>
  </si>
  <si>
    <t>Exámen Laboratorio completo Emb. (con VIH)</t>
  </si>
  <si>
    <t>Exámenes de laboratorio completo del embarazo sin HIV</t>
  </si>
  <si>
    <t>Exámen de ecografía obstétrica</t>
  </si>
  <si>
    <t>EXAMEN DE HIV</t>
  </si>
  <si>
    <t>Prueba de Diagnóstico del Emb. (con VIH)</t>
  </si>
  <si>
    <t>Tamizaje de HIV+RPR</t>
  </si>
  <si>
    <t>Despistaje de Cáncer de Cérvix de Útero (PAP)</t>
  </si>
  <si>
    <t>Prevención de Caries</t>
  </si>
  <si>
    <t>Detección Ca.Cérvico-Uterino</t>
  </si>
  <si>
    <t>Detección de neoplasia de mama (Mamografía)</t>
  </si>
  <si>
    <t>Salud Reproductiva (planificación familiar)</t>
  </si>
  <si>
    <t>Recuperativo</t>
  </si>
  <si>
    <t>Consulta médica especializada</t>
  </si>
  <si>
    <t>Internamiento del RN con patología</t>
  </si>
  <si>
    <t>Tratamiento de VIH-SIDA 0-19 Años</t>
  </si>
  <si>
    <t>Atención de Parto Normal</t>
  </si>
  <si>
    <t>Atención de Cesárea</t>
  </si>
  <si>
    <t>Consulta Externa</t>
  </si>
  <si>
    <t>Obturación y Curación Dental Simple</t>
  </si>
  <si>
    <t>Obturación y Curación Dental Compuesta</t>
  </si>
  <si>
    <t>Extracción Dental (Exodoncia)</t>
  </si>
  <si>
    <t>Trabajo Extramural (Visita Domiciliaria:recuperativo y/o preventivo)</t>
  </si>
  <si>
    <t>Atención en Tópico</t>
  </si>
  <si>
    <t>Atención de Emergencia</t>
  </si>
  <si>
    <t>Atención de Emergencia con Observación</t>
  </si>
  <si>
    <t>Intervención Médico - Quirúrgica Ambulatoria</t>
  </si>
  <si>
    <t>Internamiento en EESS (sin Inter. QX)</t>
  </si>
  <si>
    <t>Internamiento c/ Intervención Qx menor</t>
  </si>
  <si>
    <t>Internamiento c/ Intervención Qx mayor</t>
  </si>
  <si>
    <t>Internamiento en UCI</t>
  </si>
  <si>
    <t>Transfusión Sanguínea en Emergencia</t>
  </si>
  <si>
    <t>Atención Odontológica Especializada</t>
  </si>
  <si>
    <t>Apoyo al Diagnóstico</t>
  </si>
  <si>
    <t>Fluorización, Profilaxis, Destartraje, Odontograma</t>
  </si>
  <si>
    <t>Obturación y Curación Dental Simple/Compuesta</t>
  </si>
  <si>
    <t>Radiografías (por placa)</t>
  </si>
  <si>
    <t>Ecografías</t>
  </si>
  <si>
    <t>Tomografías TAC (con ó sin contraste)</t>
  </si>
  <si>
    <t>Consulta Odontológica</t>
  </si>
  <si>
    <t>Tratamiento ITS en Adultos</t>
  </si>
  <si>
    <t>Atención de Nutricionista</t>
  </si>
  <si>
    <t>Rehabilitac. fracturas o esguinces</t>
  </si>
  <si>
    <t>Control del recién nacido con menos de 2,500 gr, prematuro, con secuelas al nacer</t>
  </si>
  <si>
    <t>Consejería nutricional para niñas o niños en riesgo nutricional y desnutrición</t>
  </si>
  <si>
    <t xml:space="preserve">Suplemento de micronutrientes </t>
  </si>
  <si>
    <t>Exámenes de laboratorio completo de la gestante</t>
  </si>
  <si>
    <t xml:space="preserve">Tamizaje de HIV a gestante </t>
  </si>
  <si>
    <t>Estimulación temprana para menores de 36 meses</t>
  </si>
  <si>
    <t>Atención Integral del adolescente</t>
  </si>
  <si>
    <t xml:space="preserve">Detección precoz de cáncer cérvico-uterino </t>
  </si>
  <si>
    <t>Tratamiento profiláctico para gestante positiva a prueba rápida/ELISA VIH</t>
  </si>
  <si>
    <t>Tratamiento de VIH-SIDA (0-19a)</t>
  </si>
  <si>
    <t>Intervención médico-quirúrgica ambulatoria</t>
  </si>
  <si>
    <t>Internamiento con Estancia en la Unidad de Cuidados Intensivos (UCI)</t>
  </si>
  <si>
    <t xml:space="preserve">Transfusión sanguínea o hemoderivados </t>
  </si>
  <si>
    <t xml:space="preserve">Atención inmediata del Recién Nacido Normal                                     </t>
  </si>
  <si>
    <t>Asignación por Alimentación</t>
  </si>
  <si>
    <t>Sepelio para óbito fetal (muerte intraútero)</t>
  </si>
  <si>
    <t xml:space="preserve">Sepelio para Niñas/os </t>
  </si>
  <si>
    <t>Sepelio para Adolescentes y Adultos</t>
  </si>
  <si>
    <t xml:space="preserve">Tarifa Unificada por Uso de Aeropuerto (TUUA) </t>
  </si>
  <si>
    <t xml:space="preserve">Sepelio para Recién Nacidos </t>
  </si>
  <si>
    <t>Procedimiento Terapéutico</t>
  </si>
  <si>
    <t xml:space="preserve">Obturación/Curacióndental con resina                                 </t>
  </si>
  <si>
    <t xml:space="preserve">Atención inmediata del recién nacido normal                                     </t>
  </si>
  <si>
    <t xml:space="preserve">Atención de parto normal                                                        </t>
  </si>
  <si>
    <t xml:space="preserve">Cesárea                                                                         </t>
  </si>
  <si>
    <t xml:space="preserve">Atención Odontológica </t>
  </si>
  <si>
    <t>Prótesis dental removible</t>
  </si>
  <si>
    <t xml:space="preserve">Atención Integral de Salud del Joven y  Adulto </t>
  </si>
  <si>
    <t xml:space="preserve">Consulta externa por profesionales no médicos ni odontólogos </t>
  </si>
  <si>
    <t>Atención por Telesalud</t>
  </si>
  <si>
    <t>Atención domiciliaria</t>
  </si>
  <si>
    <t>Teleorientación con prescripción y entrega de Medicamentos</t>
  </si>
  <si>
    <t>Telemonitoreo con prescripción y entrega de Medicamentos</t>
  </si>
  <si>
    <t>Administración</t>
  </si>
  <si>
    <t>Rehabilitación</t>
  </si>
  <si>
    <t>COD_PRESTA</t>
  </si>
  <si>
    <t>CONDICIÓN</t>
  </si>
  <si>
    <t>COD_001</t>
  </si>
  <si>
    <t>COD_002</t>
  </si>
  <si>
    <t>COD_003</t>
  </si>
  <si>
    <t>COD_004</t>
  </si>
  <si>
    <t>COD_005</t>
  </si>
  <si>
    <t>COD_007</t>
  </si>
  <si>
    <t>COD_008</t>
  </si>
  <si>
    <t>COD_009</t>
  </si>
  <si>
    <t>COD_010</t>
  </si>
  <si>
    <t>COD_011</t>
  </si>
  <si>
    <t>COD_013</t>
  </si>
  <si>
    <t>COD_014</t>
  </si>
  <si>
    <t>COD_015</t>
  </si>
  <si>
    <t>COD_016</t>
  </si>
  <si>
    <t>COD_017</t>
  </si>
  <si>
    <t>COD_018</t>
  </si>
  <si>
    <t>COD_019</t>
  </si>
  <si>
    <t>COD_020</t>
  </si>
  <si>
    <t>COD_021</t>
  </si>
  <si>
    <t>COD_022</t>
  </si>
  <si>
    <t>COD_023</t>
  </si>
  <si>
    <t>COD_024</t>
  </si>
  <si>
    <t>COD_025</t>
  </si>
  <si>
    <t>COD_026</t>
  </si>
  <si>
    <t>COD_027</t>
  </si>
  <si>
    <t>COD_028</t>
  </si>
  <si>
    <t>COD_029</t>
  </si>
  <si>
    <t>COD_050</t>
  </si>
  <si>
    <t>COD_051</t>
  </si>
  <si>
    <t>COD_052</t>
  </si>
  <si>
    <t>COD_053</t>
  </si>
  <si>
    <t>COD_054</t>
  </si>
  <si>
    <t>COD_055</t>
  </si>
  <si>
    <t>COD_056</t>
  </si>
  <si>
    <t>COD_057</t>
  </si>
  <si>
    <t>COD_058</t>
  </si>
  <si>
    <t>COD_059</t>
  </si>
  <si>
    <t>COD_060</t>
  </si>
  <si>
    <t>COD_061</t>
  </si>
  <si>
    <t>COD_062</t>
  </si>
  <si>
    <t>COD_063</t>
  </si>
  <si>
    <t>COD_064</t>
  </si>
  <si>
    <t>COD_065</t>
  </si>
  <si>
    <t>COD_066</t>
  </si>
  <si>
    <t>COD_067</t>
  </si>
  <si>
    <t>COD_068</t>
  </si>
  <si>
    <t>COD_069</t>
  </si>
  <si>
    <t>COD_070</t>
  </si>
  <si>
    <t>COD_071</t>
  </si>
  <si>
    <t>COD_072</t>
  </si>
  <si>
    <t>COD_074</t>
  </si>
  <si>
    <t>COD_075</t>
  </si>
  <si>
    <t>COD_100</t>
  </si>
  <si>
    <t>COD_101</t>
  </si>
  <si>
    <t>COD_103</t>
  </si>
  <si>
    <t>COD_104</t>
  </si>
  <si>
    <t>COD_106</t>
  </si>
  <si>
    <t>COD_107</t>
  </si>
  <si>
    <t>COD_108</t>
  </si>
  <si>
    <t>COD_109</t>
  </si>
  <si>
    <t>COD_111</t>
  </si>
  <si>
    <t>COD_112</t>
  </si>
  <si>
    <t>COD_113</t>
  </si>
  <si>
    <t>COD_114</t>
  </si>
  <si>
    <t>COD_115</t>
  </si>
  <si>
    <t>COD_116</t>
  </si>
  <si>
    <t>COD_117</t>
  </si>
  <si>
    <t>COD_118</t>
  </si>
  <si>
    <t>COD_119</t>
  </si>
  <si>
    <t>COD_120</t>
  </si>
  <si>
    <t>COD_200</t>
  </si>
  <si>
    <t>COD_210</t>
  </si>
  <si>
    <t>COD_211</t>
  </si>
  <si>
    <t>COD_212</t>
  </si>
  <si>
    <t>COD_213</t>
  </si>
  <si>
    <t>COD_214</t>
  </si>
  <si>
    <t>COD_215</t>
  </si>
  <si>
    <t>COD_216</t>
  </si>
  <si>
    <t>COD_217</t>
  </si>
  <si>
    <t>COD_219</t>
  </si>
  <si>
    <t>COD_220</t>
  </si>
  <si>
    <t>COD_221</t>
  </si>
  <si>
    <t>COD_222</t>
  </si>
  <si>
    <t>COD_321</t>
  </si>
  <si>
    <t>COD_322</t>
  </si>
  <si>
    <t>COD_323</t>
  </si>
  <si>
    <t>COD_324</t>
  </si>
  <si>
    <t>COD_325</t>
  </si>
  <si>
    <t>COD_326</t>
  </si>
  <si>
    <t>COD_327</t>
  </si>
  <si>
    <t>COD_328</t>
  </si>
  <si>
    <t>COD_329</t>
  </si>
  <si>
    <t>COD_330</t>
  </si>
  <si>
    <t>COD_450</t>
  </si>
  <si>
    <t>COD_451</t>
  </si>
  <si>
    <t>COD_452</t>
  </si>
  <si>
    <t>COD_453</t>
  </si>
  <si>
    <t>COD_454</t>
  </si>
  <si>
    <t>COD_455</t>
  </si>
  <si>
    <t>COD_456</t>
  </si>
  <si>
    <t>COD_457</t>
  </si>
  <si>
    <t>COD_458</t>
  </si>
  <si>
    <t>COD_459</t>
  </si>
  <si>
    <t>COD_460</t>
  </si>
  <si>
    <t>COD_461</t>
  </si>
  <si>
    <t>COD_462</t>
  </si>
  <si>
    <t>COD_463</t>
  </si>
  <si>
    <t>COD_464</t>
  </si>
  <si>
    <t>COD_465</t>
  </si>
  <si>
    <t>COD_466</t>
  </si>
  <si>
    <t>COD_467</t>
  </si>
  <si>
    <t>COD_468</t>
  </si>
  <si>
    <t>COD_469</t>
  </si>
  <si>
    <t>COD_470</t>
  </si>
  <si>
    <t>COD_471</t>
  </si>
  <si>
    <t>COD_472</t>
  </si>
  <si>
    <t>COD_473</t>
  </si>
  <si>
    <t>COD_474</t>
  </si>
  <si>
    <t>COD_475</t>
  </si>
  <si>
    <t>COD_476</t>
  </si>
  <si>
    <t>COD_477</t>
  </si>
  <si>
    <t>COD_478</t>
  </si>
  <si>
    <t>COD_479</t>
  </si>
  <si>
    <t>COD_482</t>
  </si>
  <si>
    <t>COD_483</t>
  </si>
  <si>
    <t>COD_485</t>
  </si>
  <si>
    <t>COD_486</t>
  </si>
  <si>
    <t>COD_487</t>
  </si>
  <si>
    <t>COD_488</t>
  </si>
  <si>
    <t>COD_489</t>
  </si>
  <si>
    <t>COD_490</t>
  </si>
  <si>
    <t>COD_491</t>
  </si>
  <si>
    <t>COD_492</t>
  </si>
  <si>
    <t>COD_493</t>
  </si>
  <si>
    <t>COD_494</t>
  </si>
  <si>
    <t>COD_495</t>
  </si>
  <si>
    <t>COD_496</t>
  </si>
  <si>
    <t>COD_497</t>
  </si>
  <si>
    <t>COD_600</t>
  </si>
  <si>
    <t>COD_613</t>
  </si>
  <si>
    <t>COD_614</t>
  </si>
  <si>
    <t>COD_615</t>
  </si>
  <si>
    <t>COD_616</t>
  </si>
  <si>
    <t>COD_617</t>
  </si>
  <si>
    <t>COD_618</t>
  </si>
  <si>
    <t>COD_619</t>
  </si>
  <si>
    <t>COD_620</t>
  </si>
  <si>
    <t>COD_701</t>
  </si>
  <si>
    <t>COD_702</t>
  </si>
  <si>
    <t>COD_703</t>
  </si>
  <si>
    <t>COD_704</t>
  </si>
  <si>
    <t>COD_705</t>
  </si>
  <si>
    <t>COD_706</t>
  </si>
  <si>
    <t>COD_707</t>
  </si>
  <si>
    <t>COD_708</t>
  </si>
  <si>
    <t>COD_709</t>
  </si>
  <si>
    <t>COD_710</t>
  </si>
  <si>
    <t>COD_711</t>
  </si>
  <si>
    <t>COD_801</t>
  </si>
  <si>
    <t>COD_802</t>
  </si>
  <si>
    <t>COD_803</t>
  </si>
  <si>
    <t>COD_804</t>
  </si>
  <si>
    <t>COD_900</t>
  </si>
  <si>
    <t>COD_901</t>
  </si>
  <si>
    <t>COD_902</t>
  </si>
  <si>
    <t>COD_903</t>
  </si>
  <si>
    <t>COD_904</t>
  </si>
  <si>
    <t>COD_906</t>
  </si>
  <si>
    <t>COD_907</t>
  </si>
  <si>
    <t>COD_908</t>
  </si>
  <si>
    <t>COD_909</t>
  </si>
  <si>
    <t>COD_910</t>
  </si>
  <si>
    <t>COD_S01</t>
  </si>
  <si>
    <t>COD_S02</t>
  </si>
  <si>
    <t>Neonato</t>
  </si>
  <si>
    <t>COD_911</t>
  </si>
  <si>
    <t>Instrucción de Higiene Oral y Asesoría nutricional para el control de enfermedades dentales</t>
  </si>
  <si>
    <t>* Alta
* Citado</t>
  </si>
  <si>
    <t>LUGAR DE ATENCIÓN</t>
  </si>
  <si>
    <t>TIPO PRESTACION</t>
  </si>
  <si>
    <t>NOMBRE PRESTACIÓN</t>
  </si>
  <si>
    <t>CODIGO PRESTACION</t>
  </si>
  <si>
    <t>NIÑO</t>
  </si>
  <si>
    <t>PERSONAL QUE ATIENDE</t>
  </si>
  <si>
    <t>* I-1 : Lic. Enfermeria, Obstetra, Personal Capacitado
* I-2 : Medico, Lic. Enfermeria, Obstetra, Personal Capacitado
* I-3 : Lic. Enfermeria, Nutricionista, Medico
* I-4 : Lic. Enfemeria, Nutricionista, Medico, ME</t>
  </si>
  <si>
    <t>NEONATO</t>
  </si>
  <si>
    <t>* Intramural</t>
  </si>
  <si>
    <t xml:space="preserve">
* Dia: 01
* Mes : 01
* Año: 01
NACIMIENTO</t>
  </si>
  <si>
    <t>MATERNO</t>
  </si>
  <si>
    <t>* I-1 : Tec. Enfermeria, Lic. Enfermeria, Obstetra, Medico
* I-2 : Tec. Enfermeria, Lic. Enfermeria, Obstetra, Medico
* I-3 : Obstetra, Medico
* I-4 : Obstetra, Medico, ME</t>
  </si>
  <si>
    <t>* Citado</t>
  </si>
  <si>
    <t>* Intramural
° Extramural</t>
  </si>
  <si>
    <t>ADOLESCENTE</t>
  </si>
  <si>
    <t>* I-1 : Tec. Enfermeria, Lic. Enfermeria, Obstetra, Medico
* I-2 : Lic. Enfermeria, Obstetra, Medico
* I-3 :Lic. Enfermeria, Obstetra, Medico.
* I-4 : Lic. Enfermeria, Obstetra, Medico, ME.</t>
  </si>
  <si>
    <t xml:space="preserve"> Ap. Dx/Proc</t>
  </si>
  <si>
    <t>* I-1 : Tec. Enfermeria, Lic. Enfermeria, Obstetra, Medico
* I-2 : Tec. Enfermeria , Lic. Enfermeria, Obstetra, Medico
* I-3 :Lic. Enfermeria, Nutricionista, Medico.
* I-4 : Lic. Enfermeria, Nutricionista, Medico, ME.</t>
  </si>
  <si>
    <t xml:space="preserve">* Intramural
</t>
  </si>
  <si>
    <t>ETAPA DE VIDA: 
* 10 A 11 Años
RANGO DE EDAD:
 * Edad minima: 10 Años
* Edad Maxima: 11 Años 
SEXO: 
* Ambos</t>
  </si>
  <si>
    <t xml:space="preserve">* Dia: 01
* Mes: 01
* Año: 01
</t>
  </si>
  <si>
    <t>* I-1 : Tec. Enfermeria, Lic. Enfermeria, Obstetra, Medico
* I-2 : Tec. Enfermeria , Lic. Enfermeria, Obstetra, Medico
* I-3 :Lic. Enfermeria, Medico.
* I-4 : Lic. Enfermeria, Medico, ME.</t>
  </si>
  <si>
    <t xml:space="preserve"> * Intramural
* Extramural
</t>
  </si>
  <si>
    <t>* Med/Ins</t>
  </si>
  <si>
    <r>
      <t xml:space="preserve">* I-1 : Tec. Enfermeria, Lic. Enfermeria, Obstetra, Medico
* I-2 </t>
    </r>
    <r>
      <rPr>
        <sz val="11"/>
        <color rgb="FFFF0000"/>
        <rFont val="Calibri"/>
        <family val="2"/>
        <scheme val="minor"/>
      </rPr>
      <t>: Tec. Enfermeria</t>
    </r>
    <r>
      <rPr>
        <sz val="11"/>
        <color theme="1"/>
        <rFont val="Calibri"/>
        <family val="2"/>
        <scheme val="minor"/>
      </rPr>
      <t xml:space="preserve"> , Lic. Enfermeria,</t>
    </r>
    <r>
      <rPr>
        <sz val="11"/>
        <rFont val="Calibri"/>
        <family val="2"/>
        <scheme val="minor"/>
      </rPr>
      <t xml:space="preserve"> Obstetra</t>
    </r>
    <r>
      <rPr>
        <sz val="11"/>
        <color theme="1"/>
        <rFont val="Calibri"/>
        <family val="2"/>
        <scheme val="minor"/>
      </rPr>
      <t>, Medico
* I-3 : Lic. Enfermeria, Nutricionista, Medico, ME.
* I-4 : Lic. Enfermeria, Nutricionista, Medico, ME.</t>
    </r>
  </si>
  <si>
    <t xml:space="preserve">
* Dia: 01
* Mes: 04
* Año: 12
* Intervalo: Ninguno
EDAD CUMPLIDA</t>
  </si>
  <si>
    <t>* Dia: 01
* Mes: 01
* Año: 02
* Intervalo: 06 meses 
EDAD CUMPLIDA</t>
  </si>
  <si>
    <t xml:space="preserve"> * Intramural
</t>
  </si>
  <si>
    <r>
      <t>* I-1 :Lic. Enfermeria, Obstetra, Medico
* I-2 : Lic. Enfermeria,</t>
    </r>
    <r>
      <rPr>
        <sz val="11"/>
        <rFont val="Calibri"/>
        <family val="2"/>
        <scheme val="minor"/>
      </rPr>
      <t xml:space="preserve"> Obstetra</t>
    </r>
    <r>
      <rPr>
        <sz val="11"/>
        <color theme="1"/>
        <rFont val="Calibri"/>
        <family val="2"/>
        <scheme val="minor"/>
      </rPr>
      <t>, Medico
* I-3 : Lic. Enfermeria, Obstetra, Medico, ME.
* I-4 : Lic. Enfermeria,Obstetra, Medico, ME.</t>
    </r>
  </si>
  <si>
    <t>* Ap. Dx/Proc</t>
  </si>
  <si>
    <t xml:space="preserve">* I-1 : Odontologo
* I-2 : Odontologo
* I-3 : Odontologo
* I-4 : Odontologo
</t>
  </si>
  <si>
    <t>* I-1 : Tec. Enfermeria, Lic. Enfermeria, Obstetra, Medico
* I-2 : Lic. Enfermeria, Obstetra, Medico
* I-3 : Lic. Enfermeria, Obstetra, Medico, Psicologo
* I-4 : Lic. Enfermeria, Obstetra, Medico,ME,Psicologo</t>
  </si>
  <si>
    <t xml:space="preserve"> * Intramural
 * Extramural</t>
  </si>
  <si>
    <r>
      <t xml:space="preserve">* I-1 : Tec. Enfermeria, Lic. Enfermeria, Obstetra, Medico.
* I-2 : </t>
    </r>
    <r>
      <rPr>
        <sz val="11"/>
        <color rgb="FFFF0000"/>
        <rFont val="Calibri"/>
        <family val="2"/>
        <scheme val="minor"/>
      </rPr>
      <t>Tec. Enfermeria, Lic. Enfermeria</t>
    </r>
    <r>
      <rPr>
        <sz val="11"/>
        <color theme="1"/>
        <rFont val="Calibri"/>
        <family val="2"/>
        <scheme val="minor"/>
      </rPr>
      <t>, Obstetra, Medico.
* I-3 : Obstetra, Medico.
* I-4 : Obstetra, Medico,ME.</t>
    </r>
  </si>
  <si>
    <t xml:space="preserve"> * Intramural
</t>
  </si>
  <si>
    <t>* I-2 : BILG.
* I-3 : Tec. medico
* I-4 : Tec. Medico.</t>
  </si>
  <si>
    <t xml:space="preserve">* Citado                                                                                                                                                                                                                                                                                                                                                                                                                                                                                                                                                                                                                                                                                                                                                                                                                                                                                                                                                                                                                                                                                                                                                                                                                                                                                                                                                                                                                                                                                                                                                                                                                                                                                                                                                                                                                                                                                                                                                                                                                                                                                                                                                                                                                                  
</t>
  </si>
  <si>
    <t xml:space="preserve">* Alta                                                                                                                                                                                                                                                                                                                                                                                                                                                                                                                                                                                                                                                                                                                                                                                                                                                                                                                                                                                                                                                                                                                                                                                                                                                                                                                                                                                                                                                                                                                                                                                                                                                                                                                                                                                                                                                                                                                                                                                                                                                                                                                                                                                                                                
* Citado  </t>
  </si>
  <si>
    <t>OBLIGATORIO:
* Ap. Dx/Proc</t>
  </si>
  <si>
    <t>* Dia: 01
* Mes: 01
* Año: 01
* Intervalo: Ninguno  
AÑO CALENDARIO</t>
  </si>
  <si>
    <t>* I-1 : Obstetra.
* I-2 : Obstetra, Medico.
* I-3 : Obstetra, Medico.
* I-4 : Obstetra, Medico, ME.</t>
  </si>
  <si>
    <t xml:space="preserve">
* Dia: 01
* Mes: 01
* Año: 01
* Intervalo: Ninguno  
AÑO CALENDARIO
</t>
  </si>
  <si>
    <t>OBLIGATORIO:
* Med/Ins
* Ap. Dx/Proc</t>
  </si>
  <si>
    <t>OBLIGATORIO:
* Med/Ins</t>
  </si>
  <si>
    <r>
      <t>* I-1 :</t>
    </r>
    <r>
      <rPr>
        <sz val="11"/>
        <color rgb="FFFF0000"/>
        <rFont val="Calibri"/>
        <family val="2"/>
        <scheme val="minor"/>
      </rPr>
      <t xml:space="preserve"> Tec. Enfermeria, Lic. Enfermeria</t>
    </r>
    <r>
      <rPr>
        <sz val="11"/>
        <color theme="1"/>
        <rFont val="Calibri"/>
        <family val="2"/>
        <scheme val="minor"/>
      </rPr>
      <t xml:space="preserve">, Obstetra, Medico
* I-2 : </t>
    </r>
    <r>
      <rPr>
        <sz val="11"/>
        <color rgb="FFFF0000"/>
        <rFont val="Calibri"/>
        <family val="2"/>
        <scheme val="minor"/>
      </rPr>
      <t>Lic. Enfermeria</t>
    </r>
    <r>
      <rPr>
        <sz val="11"/>
        <color theme="1"/>
        <rFont val="Calibri"/>
        <family val="2"/>
        <scheme val="minor"/>
      </rPr>
      <t>, Obstetra, Medico
* I-3 : Obstetra, Medico.
* I-4 : Obstetra, Medico, ME.</t>
    </r>
  </si>
  <si>
    <t>* Dia: 01
* Mes: 01
* Año: 02
* Intervalo: 06 meses
* DESDE LA ULTIMA FECHA DE ATENCION DE PARTO O CESAREA</t>
  </si>
  <si>
    <r>
      <rPr>
        <sz val="11"/>
        <rFont val="Calibri"/>
        <family val="2"/>
        <scheme val="minor"/>
      </rPr>
      <t>* I-2 : Odontologo.</t>
    </r>
    <r>
      <rPr>
        <sz val="11"/>
        <color theme="1"/>
        <rFont val="Calibri"/>
        <family val="2"/>
        <scheme val="minor"/>
      </rPr>
      <t xml:space="preserve">
* I-3 : Odontologo.
* I-4 : Odontologo.</t>
    </r>
  </si>
  <si>
    <t>RC14:
* 005 - Edad Gestacional embarazo (en Semanas)</t>
  </si>
  <si>
    <t xml:space="preserve">* Dia: 01
* Mes: 
* Año: 
* Intervalo: 
</t>
  </si>
  <si>
    <r>
      <t xml:space="preserve">* I-1 : </t>
    </r>
    <r>
      <rPr>
        <sz val="11"/>
        <color rgb="FFFF0000"/>
        <rFont val="Calibri"/>
        <family val="2"/>
        <scheme val="minor"/>
      </rPr>
      <t>Tec. Enfermeria</t>
    </r>
    <r>
      <rPr>
        <sz val="11"/>
        <rFont val="Calibri"/>
        <family val="2"/>
        <scheme val="minor"/>
      </rPr>
      <t xml:space="preserve">, Lic. Enfermeria, Obstetra, Medico.
* I-2 : Lic. Enfermeria, </t>
    </r>
    <r>
      <rPr>
        <sz val="11"/>
        <color rgb="FFFF0000"/>
        <rFont val="Calibri"/>
        <family val="2"/>
        <scheme val="minor"/>
      </rPr>
      <t>Obstetra</t>
    </r>
    <r>
      <rPr>
        <sz val="11"/>
        <rFont val="Calibri"/>
        <family val="2"/>
        <scheme val="minor"/>
      </rPr>
      <t xml:space="preserve">, Medico.
* I-3 :Lic. Enfermeria, </t>
    </r>
    <r>
      <rPr>
        <sz val="11"/>
        <color rgb="FFFF0000"/>
        <rFont val="Calibri"/>
        <family val="2"/>
        <scheme val="minor"/>
      </rPr>
      <t>Obstetra</t>
    </r>
    <r>
      <rPr>
        <sz val="11"/>
        <rFont val="Calibri"/>
        <family val="2"/>
        <scheme val="minor"/>
      </rPr>
      <t>, Medico, ME.
* I-4 : Medico, ME..</t>
    </r>
  </si>
  <si>
    <t>* I-4 : ME.</t>
  </si>
  <si>
    <t>* I-1 : Tec. Enfermeria,Lic. Enfermeria, Obstetra, Odontologo, Medico.
* I-2 :Tec. Enfermeria,Lic. Enfermeria, Obstetra, Odontologo, Medico.
* I-3 : Tec. Enfermeria,Lic. Enfermeria, Obstetra, Nutricionista, Odontologo, Medico, ME, Psicologo, BILG.
* I-4 : Tec. Enfermeria,Lic. Enfermeria, Obstetra, Nutricionista, Odontologo, Medico, ME, Psicologo, BILG.</t>
  </si>
  <si>
    <r>
      <t>* I-1 : Tec. Enfermeria,Lic. Enfermeria, Obstetra, Medico.
* I-2 :</t>
    </r>
    <r>
      <rPr>
        <sz val="11"/>
        <color rgb="FFFF0000"/>
        <rFont val="Calibri"/>
        <family val="2"/>
        <scheme val="minor"/>
      </rPr>
      <t>Tec. Enfermeria</t>
    </r>
    <r>
      <rPr>
        <sz val="11"/>
        <rFont val="Calibri"/>
        <family val="2"/>
        <scheme val="minor"/>
      </rPr>
      <t>,Lic. Enfermeria, Obstetra, Medico.
* I-3 :Lic. Enfermeria, Nutricionista,  Medico.
* I-4 : Lic. Enfermeria, Nutricionista,  Medico, ME.</t>
    </r>
  </si>
  <si>
    <t>* I-3 : Medico, ME.
* I-4 : Medico, ME.</t>
  </si>
  <si>
    <t xml:space="preserve">* Dia: 01
* Mes: Ninguno
* Año: Ninguno
* Intervalo: Ninguno
</t>
  </si>
  <si>
    <t>* I-1 : Tec. Enfermeria,Lic. Enfermeria, Obstetra, Medico.
* I-2 : Lic. Enfermeria, Obstetra, Medico.
* I-3 :Lic. Enfermeria, Obstetra,  Medico, ME.
* I-4 : Lic. Enfermeria, Obstetra,  Medico, ME.</t>
  </si>
  <si>
    <t xml:space="preserve">* Dia: 01
* Mes: 02
* Año: 04
* Intervalo: Ninguno  
EDAD CUMPLIDA
</t>
  </si>
  <si>
    <t xml:space="preserve">
* Dia: 01
* Mes: 05
* Año: 24
* Intervalo: Ninguno
* AÑO CALENDARIO 
</t>
  </si>
  <si>
    <t xml:space="preserve"> * Extramural
</t>
  </si>
  <si>
    <t>* I-3 : Medico.
* I-4 : Medico, ME.</t>
  </si>
  <si>
    <t>* Dia: 01
* Mes: 02
* Año: 12
* Intervalo: Ninguno  
AÑO CALENDARIO</t>
  </si>
  <si>
    <t>JOVEN</t>
  </si>
  <si>
    <t>GENERAL</t>
  </si>
  <si>
    <t>MUJERES</t>
  </si>
  <si>
    <t>VARONES</t>
  </si>
  <si>
    <t>ADULTO MAYOR</t>
  </si>
  <si>
    <t>ADULTO</t>
  </si>
  <si>
    <t>RANGO DE EDAD</t>
  </si>
  <si>
    <t>DESTINO DE ASEGURADO</t>
  </si>
  <si>
    <t>SERVICIOS PREVENTIVOS</t>
  </si>
  <si>
    <t>DATO</t>
  </si>
  <si>
    <t>TOPES</t>
  </si>
  <si>
    <t>DIAGNOSTICOS A REGISTRAR</t>
  </si>
  <si>
    <t>PROCEDIMIENTOS OBLIGATORIOS</t>
  </si>
  <si>
    <t>MEDICAMENTO E INSUMOS</t>
  </si>
  <si>
    <t>GESTANTE</t>
  </si>
  <si>
    <t xml:space="preserve">
* Dia: 01
* Mes: 05
* Año: 
NACIMIENTO</t>
  </si>
  <si>
    <t>* Edad minima: 00 dias
* Edad Maxima: 11 años 
SEXO: 
* Ambos</t>
  </si>
  <si>
    <t>* Dia: 01
* Mes: 01
* Año: 12
* Intervalo: Ninguno
EDAD CUMPLIDA</t>
  </si>
  <si>
    <t>* Edad minima: 09 Años
* Edad Maxima: 60 Años 
SEXO: 
* Femenino</t>
  </si>
  <si>
    <t xml:space="preserve">* Dia: 01
* Mes: 04
* Año: 13
DESDE LA PRIMERA ATENCIÓN DE GESTANTE
</t>
  </si>
  <si>
    <t>* Edad minima: 09 años
* Edad Maxima: 60 años 
SEXO: 
* Femenino</t>
  </si>
  <si>
    <t xml:space="preserve">* Dia: 01
* Mes: 02
* Año: 02
* Intervalo: Ninguno  
DESDE LA ULTIMA FECHA DE ATENCION DE PARTO O CESAREA
</t>
  </si>
  <si>
    <t>* Dia: 01
* Mes: 01
* Año: 02
* Intervalo: Ninguno  
DESDE LA PRIMERA ATENCION DE GESTANTE</t>
  </si>
  <si>
    <t xml:space="preserve">* Dia: 01
* Mes: 01
* Año: 03
* Intervalo: Ninguno  
DESDE LA PRIMERA ATENCION DE GESTANTE
</t>
  </si>
  <si>
    <t xml:space="preserve">* Dia: 01
* Mes: 01
* Año: 06
AÑO CALENDARIO
</t>
  </si>
  <si>
    <t>RANGO DE EDAD:
* Edad minima: 00 dias
* Edad Maxima: 35 meses Y 29 Dias 
SEXO: 
* Ambos</t>
  </si>
  <si>
    <t xml:space="preserve">* Dia: 01
* Mes: 01
* Año: 12
</t>
  </si>
  <si>
    <t>* Edad minima: 12 años
* Edad Maxima: 17 años 
SEXO: 
* Ambos</t>
  </si>
  <si>
    <t xml:space="preserve">
* Dia: 01
* Mes: 01
* Año: 03
</t>
  </si>
  <si>
    <t>RANGO DE EDAD:
* Edad minima: 09 años
* Edad Maxima: 60 años 
SEXO: 
* Ambos</t>
  </si>
  <si>
    <t>* Dia: 01
* Mes: 01
* Año: 01
* Intervalo: Ninguno
EDAD CUMPLIDA</t>
  </si>
  <si>
    <t>* Edad minima: 00 dias
* Edad Maxima: 120 años 
SEXO: 
* Ambos</t>
  </si>
  <si>
    <t>* Dia: 01
* Mes: 01
* Año: 02
* Intervalo: Ninguna
EDAD CUMPLIDA</t>
  </si>
  <si>
    <t>* Edad minima: 06 meses
* Edad Maxima: 120años 
SEXO: 
* Ambos</t>
  </si>
  <si>
    <t>* Edad minima: 00 dias
* Edad Maxima: 120 años 
SEXO: 
* Ambos</t>
  </si>
  <si>
    <t>* Edad minima: 09 años
* Edad Maxima: 60 años 
SEXO: 
* Femenino</t>
  </si>
  <si>
    <t>* Edad minima: 00 dias
* Edad Maxima: 12 meses 
SEXO: 
* Ambos</t>
  </si>
  <si>
    <t>* I-3: BILG, Tec Medc.
* I-4 : Lic. Enfermeria, Medico, ME, BILG, Tec Medc..</t>
  </si>
  <si>
    <t xml:space="preserve">* Edad minima: 00 dias
* Edad Maxima: 02 dias  
SEXO: 
* Ambos
</t>
  </si>
  <si>
    <t xml:space="preserve">* Dia: 01
* Mes: 01
* Año: 01
* Intervalo: Ninguno  
</t>
  </si>
  <si>
    <t>* Edad minima: 29 dias
* Edad Maxima: 120 años 
SEXO: 
* Ambos</t>
  </si>
  <si>
    <t>* Edad minima: 10 años
* Edad Maxima: 120 años 
SEXO: 
* Ambos</t>
  </si>
  <si>
    <t>* Dia: 01
* Mes: 00
* Año: 00
* Intervalo: Ninguno</t>
  </si>
  <si>
    <t>* Edad minima: 05 Años
* Edad Maxima: 09 Años 
SEXO: 
* Ambos</t>
  </si>
  <si>
    <t>* Edad minima: 10 Años
* Edad Maxima: 11 Años 
SEXO: 
* Ambos</t>
  </si>
  <si>
    <t>* Edad minima: 18 años
* Edad Maxima: 45 años 
SEXO: 
* Femenino</t>
  </si>
  <si>
    <t xml:space="preserve">* Dia: 01
* Mes: 01
* Año: 03
* Intervalo: Ninguno  
AÑO CALENDARIO
</t>
  </si>
  <si>
    <t xml:space="preserve">* Edad minima: 60 años
* Edad Maxima: 120 años 
SEXO: 
* Ambos
</t>
  </si>
  <si>
    <t xml:space="preserve">* Dia: 01
* Mes: 02
* Año: 04
* Intervalo: Ninguno  
EDAD CUMPLIDA
</t>
  </si>
  <si>
    <t xml:space="preserve">
* Dia: 01
* Mes: 05
* Año: 18
NACIMIENTO</t>
  </si>
  <si>
    <t>* I-1 : Lic. Enfermeria, Obstetra, Medico
* I-2 : Lic. Enfermeria, Obstetra, Medico
* I-3 : Lic. Enfermeria, Medico.
* I-4 : Lic. Enfermeria, Medico, ME</t>
  </si>
  <si>
    <r>
      <t>* I-1 :</t>
    </r>
    <r>
      <rPr>
        <sz val="11"/>
        <rFont val="Calibri"/>
        <family val="2"/>
        <scheme val="minor"/>
      </rPr>
      <t xml:space="preserve"> Tec. Enfermeria, Lic. Enfermeria, Obstetra, Medico
* I-2 : Lic. Enfermeria, Obstetra, Odontologo, Medico</t>
    </r>
    <r>
      <rPr>
        <sz val="11"/>
        <color theme="1"/>
        <rFont val="Calibri"/>
        <family val="2"/>
        <scheme val="minor"/>
      </rPr>
      <t xml:space="preserve">
* I-3 : Nutricionista, Odontologo, Medico.
* I-4 : Nutricionista, Odontologo, Medico, ME.</t>
    </r>
  </si>
  <si>
    <t xml:space="preserve">* 04394 - LIDOCAINA
* 15045 - AGUJA CARPULE DENTAL DESCARTABLE N27 G x 1 5/8
* 16851 - GUANTES </t>
  </si>
  <si>
    <t>* I-1 : Tec. Enfermeria, Lic. Enfermeria, Obstetra,Odontologo, Medico, ME.
* I-2 : Tec. Enfermeria, Lic. Enfermeria, Obstetra,Odontologo, Medico, ME.
* I-3 :Lic. Enfermeria, Medico, ME.
* I-4 : Lic. Enfermeria, Medico, ME..</t>
  </si>
  <si>
    <t>Depende al Diagnostico</t>
  </si>
  <si>
    <t>* I-2 :  Lic, Enfermeria, Obstetra, Medico, ME.
* I-3 : Medico, ME.
* I-4 : Medico, ME..</t>
  </si>
  <si>
    <t xml:space="preserve">RC14:
* 005 - Edad Gestacional embarazo (en Semanas)
* 003 - Peso 
* 004 - Talla 
* 301 - P.A(mmHg)
RC05:
* 014 - IMC 
* 015 - PAB </t>
  </si>
  <si>
    <t>* I-2 : Tecnico en Laboratorio.
* I-3 : Medico, Tecnico en Laboratorio Tec. Med.
* I-4 : Medico, ME, BILG, Tec. Med..</t>
  </si>
  <si>
    <r>
      <t>* I-1 : Tec. Enfermeria,Lic. Enfermeria, Obstetra, Medico.
* I-2 :</t>
    </r>
    <r>
      <rPr>
        <sz val="11"/>
        <color rgb="FFFF0000"/>
        <rFont val="Calibri"/>
        <family val="2"/>
        <scheme val="minor"/>
      </rPr>
      <t>Tec. Enfermeria</t>
    </r>
    <r>
      <rPr>
        <sz val="11"/>
        <rFont val="Calibri"/>
        <family val="2"/>
        <scheme val="minor"/>
      </rPr>
      <t>,Lic. Enfermeria, Obstetra, Medico.
* I-3 :Lic. Enfermeria, Medico.
* I-4 : Lic. Enfermeria,  Medico, ME.</t>
    </r>
  </si>
  <si>
    <t xml:space="preserve">
* Dia: 01
* Mes: 02
* Año: 04
</t>
  </si>
  <si>
    <t>Intramural</t>
  </si>
  <si>
    <t>* Dx: DE ACUERDO A LA EVALUACION DEL PROFESIONAL DE SALUD</t>
  </si>
  <si>
    <t xml:space="preserve">* Intramural
* Extramural
</t>
  </si>
  <si>
    <t>* Edad minima: 00 dias
* Edad Maxima: 120 Años  
SEXO: 
* Ambos</t>
  </si>
  <si>
    <t>* I-1 : Tec. Enfermeria,Lic. Enfermeria, Obstetra, Medico.
* I-2 : Lic. Enfermeria, Obstetra, Medico.
* I-3 :Lic. Enfermeria, Obstetra,  Medico.
* I-4 : Medico.</t>
  </si>
  <si>
    <t xml:space="preserve">* Edad minima: 29 años
* Edad Maxima: 59 años 
SEXO: 
* Femenino
</t>
  </si>
  <si>
    <t>* I-2 : Tec. medico
* I-3 : Tec. medico
* I-4 : Tec. Medico.</t>
  </si>
  <si>
    <t xml:space="preserve">* Intramural
* Extramural (opcional)
</t>
  </si>
  <si>
    <t>* I-1 : Tec. Enfermeria, Lic. Enfermeria
* I-2 : Lic. Enfermeria
* I-3 : Lic. Enfermeria, Medico
* I-4 : Lic. Enfemeria, Medico, ME</t>
  </si>
  <si>
    <t>* I-1 : Tec. Enfermeria,, Lic. Enfermeria
* I-2 : Lic. Enfermeria
* I-3 : Lic. Enfermeria, Medico
* I-4 : Lic. Enfemeria, Medico, ME</t>
  </si>
  <si>
    <t>RC14:
* 005 - Edad Gestacional 
OPCIONAL:
* 003 - Peso 
* 004 - Talla  
* 015 - PAB 
* 301 - P.A(mmHg)</t>
  </si>
  <si>
    <t xml:space="preserve">OBLIGATORIO:
RC14:
* 005 - Edad Gestacional embarazo (en Semanas)
OPCIONAL:
* 003 - Peso 
* 004 - Talla
* 301 - P.A(mmHg)
* 014 - IMC 
* 015 - PAB </t>
  </si>
  <si>
    <t>* Dia: 01
* Mes: 04
* Año: 17
EDAD CUMPLIDA</t>
  </si>
  <si>
    <t xml:space="preserve">* 22095 - ESPATULA - CITOCEPILLO CON ENVOLTURA INDIVIDUAL.
* 16569 ó 16571 ó 16572 - Guante Quirurgico esteril
*25791 - CAMPO QUIRURGICO DESCARTABLE 45 cm X 45 cm
* 22710 - ESPECULO VAGINAL DESCARTABLE GRANDE
* 25122- ESPECULO VAGINAL DESCARTABLE MEDIANO
* 28687 - MANDIL DESCARTABLE ESTERIL TALLA M
* 23127- MASCARILLA DESCARTABLE QUIRURGICA 3 PLIEGUES
</t>
  </si>
  <si>
    <t xml:space="preserve">RC14:
* 304 - EDAD GESTACIONAL DEL RN (SEM)
* 003 - Peso 
* 004 - Talla 
* 305 - APGAR 1º
* 306 - APGAR 5º
* 102 - BCG
* 315 - HVB
OPCIONAL:
RC05:
* 019 - Recien Nacido Prematuro
* 020 - Bajo peso al nacer 
* 021 - Enfermedad Congénita/ Secuelas de nacimiento 
* 014 - IMC 
* 015 - PAB 
</t>
  </si>
  <si>
    <t xml:space="preserve">
</t>
  </si>
  <si>
    <t xml:space="preserve">NUTRICIONISTA: 
* 99209 - Atencion Nutricional.;
* 99403 - Consejeria Nutricional ; 
* 99344  - Consulta a domicilio para la evaluación y manejo de un paciente nuevo, de elevada severidad
PSICOLOGO: 
* 90846 - Psicoterapia de Familia sin presencia del paciente;
* 90806 - Psicoterapia individual, de soporte, psicodinámica o psicoeducativa o de afronte cognitivo conductual de 45-60 minutos de duración, cara a cara realizado por psicologo ( Psicoterapia familiar)
* 90849- Sesión de psicoterapia de grupo que incluye múltiples grupos familiares (Psicoterapia de grupo multifamiliar)
* 9084601 -  Sesión de psicoterapia de familia (realizado por el psicologo) (Psicoterapia familiar).:
96100.11 - Psicoterapia de grupo (relizado por psicologo)  NO INCLUIDA EN RC 46
96100.07 - Test de personalidad  NO INCLUIDA EN RC 46
96101 - Evaluación psicológica (incluye evaluación psicodiagnóstica de emocionalidad, habilidades intelectuales, personalidad, y psicopatología, p. ej. MMPI, WAIS, Rorschach), por hora del psicólogo o médico, tanto en el tiempo de administración de la prueba cara a cara, como el tiempo de interpretación de los resultados de las pruebas y de preparación del reporte (Pruebas Psicologicas);
96110-  Tamizaje de desarrollo, con interpretación y reporte, por formato de instrumento estandarizado (Pruebas de desarrollo limitadas)
96111-  Pruebas de Desarrollo (incluye evaluaciones del funcionamiento motor, del lenguaje, social, adaptativo, y/o cognitivo mediante instrumentos de desarrollo estandarizados) con interpretación y reporte (Pruebas de desarrollo prolongado)
* 96118-  Pruebas neuropsicológicas (p. ej. Batería neurosicológica Halstead-Reitan, escalas de memoria de Weschler y prueba de ordenamiento de cartas de Wisconsin); por hora del psicólogo o del médico, tanto en contacto cara a cara con el paciente para la administración de las pruebas al paciente, como por el tiempo interpretación de los resultados de la prueba y de preparación de reporte (Pruebas Neuro Psicologicas);
* 99207 -  Atencion en salud mental.;
* 99344 - Consulta a domicilio para la evaluación y manejo de un paciente nuevo, de elevada severidad (Visita Familiar Integral)
* 90861 - Terapia de relajación </t>
  </si>
  <si>
    <t xml:space="preserve">99499.01 - Teleconsulta en Linea </t>
  </si>
  <si>
    <t xml:space="preserve">OBLIGATORIO:
RC14:
* 003 - Peso 
* 004 - Talla 
* 005 - Edad Gestacional 
* 301 - P.A(mmHg)
OPCIONAL:
RC05:
* 408 - Parto Vertical
* 409 - Corte Tardío de Cordón (2 a 3 min)
* 014 - IMC 
* 015 - PAB 
* 010 - Altura uterina </t>
  </si>
  <si>
    <r>
      <rPr>
        <b/>
        <sz val="11"/>
        <color theme="1"/>
        <rFont val="Calibri"/>
        <family val="2"/>
        <scheme val="minor"/>
      </rPr>
      <t xml:space="preserve">OBLIGATORIO
* 99381 - </t>
    </r>
    <r>
      <rPr>
        <sz val="11"/>
        <color theme="1"/>
        <rFont val="Calibri"/>
        <family val="2"/>
        <scheme val="minor"/>
      </rPr>
      <t xml:space="preserve">ATENCIÓN INTEGRAL DE SALUD DEL NIÑO CRED &lt;1 año. 
ADICIONAL:
</t>
    </r>
    <r>
      <rPr>
        <b/>
        <sz val="11"/>
        <color theme="1"/>
        <rFont val="Calibri"/>
        <family val="2"/>
        <scheme val="minor"/>
      </rPr>
      <t>* 99252 -</t>
    </r>
    <r>
      <rPr>
        <sz val="11"/>
        <color theme="1"/>
        <rFont val="Calibri"/>
        <family val="2"/>
        <scheme val="minor"/>
      </rPr>
      <t xml:space="preserve"> CONSEJERIA NUTRICIONAL EN NIÑOS EN RIESGOS 
</t>
    </r>
    <r>
      <rPr>
        <b/>
        <sz val="11"/>
        <color theme="1"/>
        <rFont val="Calibri"/>
        <family val="2"/>
        <scheme val="minor"/>
      </rPr>
      <t xml:space="preserve">* 90471 - </t>
    </r>
    <r>
      <rPr>
        <sz val="11"/>
        <color theme="1"/>
        <rFont val="Calibri"/>
        <family val="2"/>
        <scheme val="minor"/>
      </rPr>
      <t xml:space="preserve"> Inmunización
</t>
    </r>
    <r>
      <rPr>
        <b/>
        <sz val="11"/>
        <color theme="1"/>
        <rFont val="Calibri"/>
        <family val="2"/>
        <scheme val="minor"/>
      </rPr>
      <t xml:space="preserve">* 36416 - </t>
    </r>
    <r>
      <rPr>
        <sz val="11"/>
        <color theme="1"/>
        <rFont val="Calibri"/>
        <family val="2"/>
        <scheme val="minor"/>
      </rPr>
      <t xml:space="preserve">COLECCIÓN DE SANGRE CAPILAR (ejemplo dedo,talon u oreja) (a partir de I-4)     
</t>
    </r>
    <r>
      <rPr>
        <b/>
        <sz val="11"/>
        <color theme="1"/>
        <rFont val="Calibri"/>
        <family val="2"/>
        <scheme val="minor"/>
      </rPr>
      <t>* 85018 /85007 /85057 / 85031 -</t>
    </r>
    <r>
      <rPr>
        <sz val="11"/>
        <color theme="1"/>
        <rFont val="Calibri"/>
        <family val="2"/>
        <scheme val="minor"/>
      </rPr>
      <t xml:space="preserve"> DOSAJE DE HEMOGLOBINA (VALOR AJUSTADO) (SI EL VALOR DE HEMOGLOBINA ESTA POR DEBAJO DE LOS RANGOS NORMALES DEBERA SER REGISTRADO EL DIAGNOSTICO DE ANEMIA)
</t>
    </r>
  </si>
  <si>
    <t>* Dia: 01
* Mes: 01
* Año: 02</t>
  </si>
  <si>
    <t>* I-2 : Odontologo.
* I-3 : Odontologo.
* I-4 : Odontologo.</t>
  </si>
  <si>
    <t>* Z768 - Persona en contacto con los servicios de salud en otras circunstancias especificadas</t>
  </si>
  <si>
    <r>
      <rPr>
        <b/>
        <sz val="11"/>
        <color theme="1"/>
        <rFont val="Calibri"/>
        <family val="2"/>
        <scheme val="minor"/>
      </rPr>
      <t>OPCIONAL:</t>
    </r>
    <r>
      <rPr>
        <sz val="11"/>
        <color theme="1"/>
        <rFont val="Calibri"/>
        <family val="2"/>
        <scheme val="minor"/>
      </rPr>
      <t xml:space="preserve">
* 36416 - COLECCIÓN DE SANGRE CAPILAR (ejemplo dedo,talon u oreja)
</t>
    </r>
  </si>
  <si>
    <r>
      <rPr>
        <b/>
        <sz val="11"/>
        <color theme="1"/>
        <rFont val="Calibri"/>
        <family val="2"/>
        <scheme val="minor"/>
      </rPr>
      <t>OPCIONAL:</t>
    </r>
    <r>
      <rPr>
        <sz val="11"/>
        <color theme="1"/>
        <rFont val="Calibri"/>
        <family val="2"/>
        <scheme val="minor"/>
      </rPr>
      <t xml:space="preserve">
RC39: 
* 15878 - Curación de heridas pequeñas, menos de 5 cms
* 97597 - Curación de heridas
* 90471 Administración de Inmunización (incluye inyeccion percutánea, intradermica, subcutánea, intramuscular y/o adinistracion intranasal u oral,  
* 94640 - Tratamiento por inhalación con o sin presión para tratamiento de obstrucción aguda de las vías aéreas o para estimulación de esputo con fines diagnósticos
* Retiro de puntos
* Colocacion de sonda
* Lavado de oidos</t>
    </r>
  </si>
  <si>
    <r>
      <rPr>
        <b/>
        <sz val="11"/>
        <color theme="1"/>
        <rFont val="Calibri"/>
        <family val="2"/>
        <scheme val="minor"/>
      </rPr>
      <t>OPCIONAL:</t>
    </r>
    <r>
      <rPr>
        <sz val="11"/>
        <color theme="1"/>
        <rFont val="Calibri"/>
        <family val="2"/>
        <scheme val="minor"/>
      </rPr>
      <t xml:space="preserve">
* 99402.09 - CONSEJERÍA DE PREVENCIÓN DE RIESGOS EN SALUD MENTAL                        Ó
* 99207 - Atención en salud mental</t>
    </r>
  </si>
  <si>
    <t xml:space="preserve">* S0001 - Sobre Chispita (Sulfato ferroso12.5 mg) ó 
*03519 -  Sulfato ferroso frasco  de 180 ml / 25 mg ó 
*03536 -  Sulfato ferroso gotas  de 30 ml / 25 mg ó
* 01759 - Fierrro Polimaltosado 100 ml 50 mg/5 ml JBE ó
* 03560 - Fierro Polimaltosado 30 ml 50 mg/ml SOL ó 
* 21643 - Fierro Polimaltosa 2 ml 50 mg/ml SOL ó 
* 28551 - Hierro Polimaltosado  20 ml 50 mg/ml SOL ó 
* 29165 - Complejo hidróxido de hierro Polimaltosa 30 ml 50 mg/ml SOL
* 33524 - Fierro Polimaltosa 150 mL 50 mg/5 mL </t>
  </si>
  <si>
    <r>
      <rPr>
        <b/>
        <sz val="11"/>
        <color theme="1"/>
        <rFont val="Calibri"/>
        <family val="2"/>
        <scheme val="minor"/>
      </rPr>
      <t xml:space="preserve">OPCIONALES:
* Z340 - </t>
    </r>
    <r>
      <rPr>
        <sz val="11"/>
        <color theme="1"/>
        <rFont val="Calibri"/>
        <family val="2"/>
        <scheme val="minor"/>
      </rPr>
      <t xml:space="preserve">SUPERVISION DE PRIMER EMBARAZO NORMAL
</t>
    </r>
    <r>
      <rPr>
        <b/>
        <sz val="11"/>
        <color theme="1"/>
        <rFont val="Calibri"/>
        <family val="2"/>
        <scheme val="minor"/>
      </rPr>
      <t xml:space="preserve">* Z348 </t>
    </r>
    <r>
      <rPr>
        <sz val="11"/>
        <color theme="1"/>
        <rFont val="Calibri"/>
        <family val="2"/>
        <scheme val="minor"/>
      </rPr>
      <t xml:space="preserve">- SUPERVISION DE OTROS EMBARAZOS NORMALES
</t>
    </r>
    <r>
      <rPr>
        <b/>
        <sz val="11"/>
        <color theme="1"/>
        <rFont val="Calibri"/>
        <family val="2"/>
        <scheme val="minor"/>
      </rPr>
      <t xml:space="preserve">* Z349 </t>
    </r>
    <r>
      <rPr>
        <sz val="11"/>
        <color theme="1"/>
        <rFont val="Calibri"/>
        <family val="2"/>
        <scheme val="minor"/>
      </rPr>
      <t xml:space="preserve">- SUPERVISION DE EMBARAZO NORMAL NO ESPECIFICADO
</t>
    </r>
    <r>
      <rPr>
        <b/>
        <sz val="11"/>
        <color theme="1"/>
        <rFont val="Calibri"/>
        <family val="2"/>
        <scheme val="minor"/>
      </rPr>
      <t xml:space="preserve">* Z350 - </t>
    </r>
    <r>
      <rPr>
        <sz val="11"/>
        <color theme="1"/>
        <rFont val="Calibri"/>
        <family val="2"/>
        <scheme val="minor"/>
      </rPr>
      <t>SUPERVISION DE EMBARAZO CON HISTORIA DE ESTERILIDAD
*</t>
    </r>
    <r>
      <rPr>
        <b/>
        <sz val="11"/>
        <color theme="1"/>
        <rFont val="Calibri"/>
        <family val="2"/>
        <scheme val="minor"/>
      </rPr>
      <t xml:space="preserve"> Z351 -</t>
    </r>
    <r>
      <rPr>
        <sz val="11"/>
        <color theme="1"/>
        <rFont val="Calibri"/>
        <family val="2"/>
        <scheme val="minor"/>
      </rPr>
      <t xml:space="preserve"> SUPERVISION DE EMBARAZO CON HISTORIA DE ABORTO
</t>
    </r>
    <r>
      <rPr>
        <b/>
        <sz val="11"/>
        <color theme="1"/>
        <rFont val="Calibri"/>
        <family val="2"/>
        <scheme val="minor"/>
      </rPr>
      <t xml:space="preserve">* Z352 - </t>
    </r>
    <r>
      <rPr>
        <sz val="11"/>
        <color theme="1"/>
        <rFont val="Calibri"/>
        <family val="2"/>
        <scheme val="minor"/>
      </rPr>
      <t xml:space="preserve">SUPERVISION DE EMBARAZO CON OTRO RIESGO EN LA HISTORIA OBSTETRICA O REPRODUCTIVA
</t>
    </r>
    <r>
      <rPr>
        <b/>
        <sz val="11"/>
        <color theme="1"/>
        <rFont val="Calibri"/>
        <family val="2"/>
        <scheme val="minor"/>
      </rPr>
      <t xml:space="preserve">* Z353 </t>
    </r>
    <r>
      <rPr>
        <sz val="11"/>
        <color theme="1"/>
        <rFont val="Calibri"/>
        <family val="2"/>
        <scheme val="minor"/>
      </rPr>
      <t>- SUPERVISION DE EMBARAZO CON HISTORIA DE INSUFICIENTE ATENCION PRENATAL
* Z354 - SUPERVISION DE EMBARAZO CON GRAN MULTIPARIDAD
* Z355 - SUPERVISION DE PRIMIGESTA AÑOSA
* Z356 - SUPERVISION DE PRIMIGESTA MUY JOVEN
* Z358 - SUPERVISION DE OTROS EMBARAZOS DE ALTO RIESGO
* Z359 - SUPERVISION DE EMBARAZO DE ALTO RIESGO, SIN OTRA ESPECIFICACION</t>
    </r>
  </si>
  <si>
    <r>
      <rPr>
        <b/>
        <sz val="11"/>
        <color theme="1"/>
        <rFont val="Calibri"/>
        <family val="2"/>
        <scheme val="minor"/>
      </rPr>
      <t>OPCIONAL:</t>
    </r>
    <r>
      <rPr>
        <sz val="11"/>
        <color theme="1"/>
        <rFont val="Calibri"/>
        <family val="2"/>
        <scheme val="minor"/>
      </rPr>
      <t xml:space="preserve">
* 99211 - Consulta ambulatoria (PUERPERIO)
* 85018 - Dosaje de Hemoglobina Ó
* 85007 - Hemograma Ó
* 85027 - Hemograma Completo Ó
* 85031 - Hemograma completo, tercera generación 
</t>
    </r>
  </si>
  <si>
    <r>
      <rPr>
        <b/>
        <sz val="11"/>
        <color theme="1"/>
        <rFont val="Calibri"/>
        <family val="2"/>
        <scheme val="minor"/>
      </rPr>
      <t>OBLIGATORIO:</t>
    </r>
    <r>
      <rPr>
        <sz val="11"/>
        <color theme="1"/>
        <rFont val="Calibri"/>
        <family val="2"/>
        <scheme val="minor"/>
      </rPr>
      <t xml:space="preserve">
* D0150 - Evaluación oral completa
</t>
    </r>
  </si>
  <si>
    <r>
      <rPr>
        <b/>
        <sz val="11"/>
        <color theme="1"/>
        <rFont val="Calibri"/>
        <family val="2"/>
        <scheme val="minor"/>
      </rPr>
      <t>OPCIONAL:</t>
    </r>
    <r>
      <rPr>
        <sz val="11"/>
        <color theme="1"/>
        <rFont val="Calibri"/>
        <family val="2"/>
        <scheme val="minor"/>
      </rPr>
      <t xml:space="preserve">
* 94664 - Inhalaciones de aerosoles o vapores para movilización de esputo, broncodilatación o inducción del esputo con fines diagnósticos.
* 99281- ATENCIÓN DE EMERGENCIA PRIORIDAD IV  
* 99282 - ATENCIÓN DE EMERGENCIA PRIORIDAD III
* 99284 - ATENCIÓN DE EMERGENCIA PRIORIDAD II
* 99285 - ATENCIÓN DE EMERGENCIA PRIORIDAD I
                                                         +
* OTROS PROCEDIMIENTOS QUE SE REALIZA 
                                                    +
* OTROS PROCEDIMIENTOS QUE SE REALIZA  DE ACUERDO A LA RJ N° 017-2019/SIS, RJ N° 99-2019/SIS.</t>
    </r>
  </si>
  <si>
    <t>RC14:
* 005 - Edad Gestacional embarazo (en Semanas)
RC05:
* 003 - Peso 
* 004 - Talla 
* 301 - P.A(mmHg)</t>
  </si>
  <si>
    <t>* O234 - INFECCION NO ESPECIFICADA DE LAS VIAS URINARIAS EN EL EMBARAZO
* SEGÚN CORRESPONDA</t>
  </si>
  <si>
    <t xml:space="preserve">* 99211 - Consulta ambulatoria para la evaluación y manejo de una paciente continuador, nivel I
* 99231 - Atención Paciente-Día Hospitalización
* 90784 - Inyección terapéutica o diagnóstica intravenosa
* 90782 - Inyección profiláctica, diagnóstica o terapéutica; subcutánea o intramuscular
* 99305 - Atención Paciente-Día Cuidados Intermedios
* 99282 - Atención de Emergencia, Prioridad I 
* 99283 - Atención de Emergencia, Prioridad II 
* 99284 - Atención de Emergencia, Prioridad III
* 99285 - Atención de Emergencia, Prioridad IV
</t>
  </si>
  <si>
    <r>
      <rPr>
        <b/>
        <sz val="11"/>
        <color theme="1"/>
        <rFont val="Calibri"/>
        <family val="2"/>
        <scheme val="minor"/>
      </rPr>
      <t xml:space="preserve">OBLIGATORIO:
*Z001 - </t>
    </r>
    <r>
      <rPr>
        <sz val="11"/>
        <color theme="1"/>
        <rFont val="Calibri"/>
        <family val="2"/>
        <scheme val="minor"/>
      </rPr>
      <t xml:space="preserve">Control de Salud de rutina del niño (Niño Normal)  
</t>
    </r>
    <r>
      <rPr>
        <b/>
        <sz val="11"/>
        <color theme="1"/>
        <rFont val="Calibri"/>
        <family val="2"/>
        <scheme val="minor"/>
      </rPr>
      <t>OPCIONALES:
* E43X -</t>
    </r>
    <r>
      <rPr>
        <sz val="11"/>
        <color theme="1"/>
        <rFont val="Calibri"/>
        <family val="2"/>
        <scheme val="minor"/>
      </rPr>
      <t xml:space="preserve"> Desnutrición Proteico calórica Severa, No Especificada (Delgadez severa)  Ó
</t>
    </r>
    <r>
      <rPr>
        <b/>
        <sz val="11"/>
        <color theme="1"/>
        <rFont val="Calibri"/>
        <family val="2"/>
        <scheme val="minor"/>
      </rPr>
      <t>* Z91.8 -</t>
    </r>
    <r>
      <rPr>
        <sz val="11"/>
        <color theme="1"/>
        <rFont val="Calibri"/>
        <family val="2"/>
        <scheme val="minor"/>
      </rPr>
      <t xml:space="preserve"> Historia personal de otros factores de riesgo, no clasificados en otra parte (Riesgo de desnutrición).  Ó
</t>
    </r>
    <r>
      <rPr>
        <b/>
        <sz val="11"/>
        <color theme="1"/>
        <rFont val="Calibri"/>
        <family val="2"/>
        <scheme val="minor"/>
      </rPr>
      <t>* E440 -</t>
    </r>
    <r>
      <rPr>
        <sz val="11"/>
        <color theme="1"/>
        <rFont val="Calibri"/>
        <family val="2"/>
        <scheme val="minor"/>
      </rPr>
      <t xml:space="preserve"> Desnutrición Proteico calórica Moderada (Delgadez)  Ó
</t>
    </r>
    <r>
      <rPr>
        <b/>
        <sz val="11"/>
        <color theme="1"/>
        <rFont val="Calibri"/>
        <family val="2"/>
        <scheme val="minor"/>
      </rPr>
      <t>* E660 -</t>
    </r>
    <r>
      <rPr>
        <sz val="11"/>
        <color theme="1"/>
        <rFont val="Calibri"/>
        <family val="2"/>
        <scheme val="minor"/>
      </rPr>
      <t xml:space="preserve"> Obesidad debida a exceso de Calorías  (Sobrepeso)  Ó
</t>
    </r>
    <r>
      <rPr>
        <b/>
        <sz val="11"/>
        <color theme="1"/>
        <rFont val="Calibri"/>
        <family val="2"/>
        <scheme val="minor"/>
      </rPr>
      <t xml:space="preserve">* E669 - </t>
    </r>
    <r>
      <rPr>
        <sz val="11"/>
        <color theme="1"/>
        <rFont val="Calibri"/>
        <family val="2"/>
        <scheme val="minor"/>
      </rPr>
      <t xml:space="preserve">Obesidad, No especificada 
</t>
    </r>
    <r>
      <rPr>
        <b/>
        <sz val="11"/>
        <color theme="1"/>
        <rFont val="Calibri"/>
        <family val="2"/>
        <scheme val="minor"/>
      </rPr>
      <t xml:space="preserve">ADICIONAL:
* E45X -  </t>
    </r>
    <r>
      <rPr>
        <sz val="11"/>
        <color theme="1"/>
        <rFont val="Calibri"/>
        <family val="2"/>
        <scheme val="minor"/>
      </rPr>
      <t xml:space="preserve">Retardo del Desarrollo debido a Desnutrición Proteico calórica (Talla baja) Ó
</t>
    </r>
    <r>
      <rPr>
        <b/>
        <sz val="11"/>
        <color theme="1"/>
        <rFont val="Calibri"/>
        <family val="2"/>
        <scheme val="minor"/>
      </rPr>
      <t xml:space="preserve">* E344 - </t>
    </r>
    <r>
      <rPr>
        <sz val="11"/>
        <color theme="1"/>
        <rFont val="Calibri"/>
        <family val="2"/>
        <scheme val="minor"/>
      </rPr>
      <t xml:space="preserve">Estatura alta Constitucional (Talla alta) </t>
    </r>
  </si>
  <si>
    <r>
      <rPr>
        <b/>
        <sz val="11"/>
        <color theme="1"/>
        <rFont val="Calibri"/>
        <family val="2"/>
        <scheme val="minor"/>
      </rPr>
      <t>OBLIGATORIO:</t>
    </r>
    <r>
      <rPr>
        <sz val="11"/>
        <color theme="1"/>
        <rFont val="Calibri"/>
        <family val="2"/>
        <scheme val="minor"/>
      </rPr>
      <t xml:space="preserve">
* Z003 - Exámen del estado de desarrollo del Adolescente (Adolescente normal) 
</t>
    </r>
    <r>
      <rPr>
        <b/>
        <sz val="11"/>
        <color theme="1"/>
        <rFont val="Calibri"/>
        <family val="2"/>
        <scheme val="minor"/>
      </rPr>
      <t>OPCIONALES :</t>
    </r>
    <r>
      <rPr>
        <sz val="11"/>
        <color theme="1"/>
        <rFont val="Calibri"/>
        <family val="2"/>
        <scheme val="minor"/>
      </rPr>
      <t xml:space="preserve">
* E43X - Desnutrición Proteico calórica Severa, No Especificada (Delgadez severa)
* Z91.8 - Historia personal de otros factores de riesgo, no clasificados en otra parte (Riesgo de desnutrición).
* E440 - Desnutrición Proteico calórica Moderada (Delgadez)
* E660 - Obesidad debida a exceso de Calorías  (Sobrepeso)
* E669 - Obesidad, No especificada
</t>
    </r>
    <r>
      <rPr>
        <b/>
        <sz val="11"/>
        <color theme="1"/>
        <rFont val="Calibri"/>
        <family val="2"/>
        <scheme val="minor"/>
      </rPr>
      <t>ADICIONAL:</t>
    </r>
    <r>
      <rPr>
        <sz val="11"/>
        <color theme="1"/>
        <rFont val="Calibri"/>
        <family val="2"/>
        <scheme val="minor"/>
      </rPr>
      <t xml:space="preserve">
* E45X - Retardo del Desarrollo debido a Desnutrición Proteico calórica (Talla baja)
* E344 - Estatura alta Constitucional (Talla alta)</t>
    </r>
  </si>
  <si>
    <r>
      <rPr>
        <b/>
        <sz val="11"/>
        <color theme="1"/>
        <rFont val="Calibri"/>
        <family val="2"/>
        <scheme val="minor"/>
      </rPr>
      <t xml:space="preserve">OBLIGATORIO:
* Z001 - </t>
    </r>
    <r>
      <rPr>
        <sz val="11"/>
        <color theme="1"/>
        <rFont val="Calibri"/>
        <family val="2"/>
        <scheme val="minor"/>
      </rPr>
      <t xml:space="preserve">Control de Salud de rutina del niño (Niño Normal)
</t>
    </r>
    <r>
      <rPr>
        <b/>
        <sz val="11"/>
        <color theme="1"/>
        <rFont val="Calibri"/>
        <family val="2"/>
        <scheme val="minor"/>
      </rPr>
      <t xml:space="preserve">OPCIONAL:
* E43X - </t>
    </r>
    <r>
      <rPr>
        <sz val="11"/>
        <color theme="1"/>
        <rFont val="Calibri"/>
        <family val="2"/>
        <scheme val="minor"/>
      </rPr>
      <t xml:space="preserve">Desnutrición Proteico calórica Severa, No Especificada (Delgadez severa) Ó
</t>
    </r>
    <r>
      <rPr>
        <b/>
        <sz val="11"/>
        <color theme="1"/>
        <rFont val="Calibri"/>
        <family val="2"/>
        <scheme val="minor"/>
      </rPr>
      <t>* Z91.8 -</t>
    </r>
    <r>
      <rPr>
        <sz val="11"/>
        <color theme="1"/>
        <rFont val="Calibri"/>
        <family val="2"/>
        <scheme val="minor"/>
      </rPr>
      <t xml:space="preserve"> Historia personal de otros factores de riesgo, no clasificados en otra parte (Riesgo de desnutrición). Ó
</t>
    </r>
    <r>
      <rPr>
        <b/>
        <sz val="11"/>
        <color theme="1"/>
        <rFont val="Calibri"/>
        <family val="2"/>
        <scheme val="minor"/>
      </rPr>
      <t>* E440 -</t>
    </r>
    <r>
      <rPr>
        <sz val="11"/>
        <color theme="1"/>
        <rFont val="Calibri"/>
        <family val="2"/>
        <scheme val="minor"/>
      </rPr>
      <t xml:space="preserve"> Desnutrición Proteico calórica Moderada (Delgadez) ) Ó
</t>
    </r>
    <r>
      <rPr>
        <b/>
        <sz val="11"/>
        <color theme="1"/>
        <rFont val="Calibri"/>
        <family val="2"/>
        <scheme val="minor"/>
      </rPr>
      <t>* E660 -</t>
    </r>
    <r>
      <rPr>
        <sz val="11"/>
        <color theme="1"/>
        <rFont val="Calibri"/>
        <family val="2"/>
        <scheme val="minor"/>
      </rPr>
      <t xml:space="preserve"> Obesidad debida a exceso de Calorías  (Sobrepeso)  Ó
</t>
    </r>
    <r>
      <rPr>
        <b/>
        <sz val="11"/>
        <color theme="1"/>
        <rFont val="Calibri"/>
        <family val="2"/>
        <scheme val="minor"/>
      </rPr>
      <t>* E669 -</t>
    </r>
    <r>
      <rPr>
        <sz val="11"/>
        <color theme="1"/>
        <rFont val="Calibri"/>
        <family val="2"/>
        <scheme val="minor"/>
      </rPr>
      <t xml:space="preserve"> Obesidad, No especificada
</t>
    </r>
    <r>
      <rPr>
        <b/>
        <sz val="11"/>
        <color theme="1"/>
        <rFont val="Calibri"/>
        <family val="2"/>
        <scheme val="minor"/>
      </rPr>
      <t xml:space="preserve">ADICIONAL :
* E45X - </t>
    </r>
    <r>
      <rPr>
        <sz val="11"/>
        <color theme="1"/>
        <rFont val="Calibri"/>
        <family val="2"/>
        <scheme val="minor"/>
      </rPr>
      <t xml:space="preserve">Retardo del Desarrollo debido a Desnutrición Proteico calórica (Talla baja) Ó
</t>
    </r>
    <r>
      <rPr>
        <b/>
        <sz val="11"/>
        <color theme="1"/>
        <rFont val="Calibri"/>
        <family val="2"/>
        <scheme val="minor"/>
      </rPr>
      <t xml:space="preserve">* E344 </t>
    </r>
    <r>
      <rPr>
        <sz val="11"/>
        <color theme="1"/>
        <rFont val="Calibri"/>
        <family val="2"/>
        <scheme val="minor"/>
      </rPr>
      <t xml:space="preserve">- Estatura alta Constitucional (Talla alta)
</t>
    </r>
  </si>
  <si>
    <r>
      <rPr>
        <b/>
        <sz val="11"/>
        <color theme="1"/>
        <rFont val="Calibri"/>
        <family val="2"/>
        <scheme val="minor"/>
      </rPr>
      <t>OBLIGATORIO:
* Z010 -</t>
    </r>
    <r>
      <rPr>
        <sz val="11"/>
        <color theme="1"/>
        <rFont val="Calibri"/>
        <family val="2"/>
        <scheme val="minor"/>
      </rPr>
      <t xml:space="preserve"> EXAMEN DE OJOS Y DE LA VISIÓN </t>
    </r>
  </si>
  <si>
    <r>
      <rPr>
        <b/>
        <sz val="11"/>
        <color theme="1"/>
        <rFont val="Calibri"/>
        <family val="2"/>
        <scheme val="minor"/>
      </rPr>
      <t>OBLIGATORIO:</t>
    </r>
    <r>
      <rPr>
        <sz val="11"/>
        <color theme="1"/>
        <rFont val="Calibri"/>
        <family val="2"/>
        <scheme val="minor"/>
      </rPr>
      <t xml:space="preserve">
</t>
    </r>
    <r>
      <rPr>
        <b/>
        <sz val="11"/>
        <color theme="1"/>
        <rFont val="Calibri"/>
        <family val="2"/>
        <scheme val="minor"/>
      </rPr>
      <t>* Z298 -</t>
    </r>
    <r>
      <rPr>
        <sz val="11"/>
        <color theme="1"/>
        <rFont val="Calibri"/>
        <family val="2"/>
        <scheme val="minor"/>
      </rPr>
      <t xml:space="preserve"> Otras medidas profilácticas</t>
    </r>
  </si>
  <si>
    <r>
      <rPr>
        <b/>
        <sz val="11"/>
        <color theme="1"/>
        <rFont val="Calibri"/>
        <family val="2"/>
        <scheme val="minor"/>
      </rPr>
      <t>OBLIGATORIO:</t>
    </r>
    <r>
      <rPr>
        <sz val="11"/>
        <color theme="1"/>
        <rFont val="Calibri"/>
        <family val="2"/>
        <scheme val="minor"/>
      </rPr>
      <t xml:space="preserve">
</t>
    </r>
    <r>
      <rPr>
        <b/>
        <sz val="11"/>
        <color theme="1"/>
        <rFont val="Calibri"/>
        <family val="2"/>
        <scheme val="minor"/>
      </rPr>
      <t xml:space="preserve">* Z768 - </t>
    </r>
    <r>
      <rPr>
        <sz val="11"/>
        <color theme="1"/>
        <rFont val="Calibri"/>
        <family val="2"/>
        <scheme val="minor"/>
      </rPr>
      <t>PERSONA EN CONTACTO CON LOS SERVICIOS DE SALUD EN OTRAS CIRCUNSTANCIAS ESPECIFICADAS</t>
    </r>
  </si>
  <si>
    <r>
      <rPr>
        <b/>
        <sz val="11"/>
        <color theme="1"/>
        <rFont val="Calibri"/>
        <family val="2"/>
        <scheme val="minor"/>
      </rPr>
      <t>OBLIGATORIO:</t>
    </r>
    <r>
      <rPr>
        <sz val="11"/>
        <color theme="1"/>
        <rFont val="Calibri"/>
        <family val="2"/>
        <scheme val="minor"/>
      </rPr>
      <t xml:space="preserve">
* Z133 - Examen de pesquisa especial para trastornos mentales y del comportamiento
</t>
    </r>
    <r>
      <rPr>
        <b/>
        <sz val="11"/>
        <color theme="1"/>
        <rFont val="Calibri"/>
        <family val="2"/>
        <scheme val="minor"/>
      </rPr>
      <t xml:space="preserve">
DE ACUERDO A LA EVALUACIÓN (OPCIONAL):</t>
    </r>
    <r>
      <rPr>
        <sz val="11"/>
        <color theme="1"/>
        <rFont val="Calibri"/>
        <family val="2"/>
        <scheme val="minor"/>
      </rPr>
      <t xml:space="preserve">
* F99.X  - Trastorno mental no especificado
* F32.9  - Episodio depresivo no especificado
* F41.9  - Transtorno de ansiedad no especificado
* Z72.1  - Problemas relacionados al uso de alcohol
* T748  - Otros síndromes del maltrato
* R456 -  Violencia Física 
* Z735 - PROBLEMAS RELACIONADOS CON EL CONFLICTO DEL ROL SOCIAL, NO CLASIFICADOS EN OTRA PARTE
* Z734 - PROBLEMAS RELACIONADOS CON HABILIDADES SOCIALES INADECUADAS, NO CLASIFICADOS EN OTRA PARTE.</t>
    </r>
  </si>
  <si>
    <r>
      <rPr>
        <b/>
        <sz val="11"/>
        <color theme="1"/>
        <rFont val="Calibri"/>
        <family val="2"/>
        <scheme val="minor"/>
      </rPr>
      <t>OBLIGATORIO:</t>
    </r>
    <r>
      <rPr>
        <sz val="11"/>
        <color theme="1"/>
        <rFont val="Calibri"/>
        <family val="2"/>
        <scheme val="minor"/>
      </rPr>
      <t xml:space="preserve">
</t>
    </r>
    <r>
      <rPr>
        <b/>
        <sz val="11"/>
        <color theme="1"/>
        <rFont val="Calibri"/>
        <family val="2"/>
        <scheme val="minor"/>
      </rPr>
      <t xml:space="preserve">* Z39.2 - </t>
    </r>
    <r>
      <rPr>
        <sz val="11"/>
        <color theme="1"/>
        <rFont val="Calibri"/>
        <family val="2"/>
        <scheme val="minor"/>
      </rPr>
      <t xml:space="preserve">SEGUIMIENTO POSTPARTO DE RUTINA
</t>
    </r>
    <r>
      <rPr>
        <b/>
        <sz val="11"/>
        <color theme="1"/>
        <rFont val="Calibri"/>
        <family val="2"/>
        <scheme val="minor"/>
      </rPr>
      <t>OPCIONAL:</t>
    </r>
    <r>
      <rPr>
        <sz val="11"/>
        <color theme="1"/>
        <rFont val="Calibri"/>
        <family val="2"/>
        <scheme val="minor"/>
      </rPr>
      <t xml:space="preserve">
</t>
    </r>
    <r>
      <rPr>
        <b/>
        <sz val="11"/>
        <color theme="1"/>
        <rFont val="Calibri"/>
        <family val="2"/>
        <scheme val="minor"/>
      </rPr>
      <t>* O990 -</t>
    </r>
    <r>
      <rPr>
        <sz val="11"/>
        <color theme="1"/>
        <rFont val="Calibri"/>
        <family val="2"/>
        <scheme val="minor"/>
      </rPr>
      <t xml:space="preserve"> ANEMIA QUE COMPLICA EL EMBARAZO, EL PARTO Y EL PUERPERIO
</t>
    </r>
  </si>
  <si>
    <r>
      <rPr>
        <b/>
        <sz val="11"/>
        <color theme="1"/>
        <rFont val="Calibri"/>
        <family val="2"/>
        <scheme val="minor"/>
      </rPr>
      <t>OBLIAGTORIO:</t>
    </r>
    <r>
      <rPr>
        <sz val="11"/>
        <color theme="1"/>
        <rFont val="Calibri"/>
        <family val="2"/>
        <scheme val="minor"/>
      </rPr>
      <t xml:space="preserve">
* Z017 - EXAMEN DE LABORATORIO</t>
    </r>
  </si>
  <si>
    <t xml:space="preserve">
* Z138 - EXAMEN DE PESQUISA ESPECIAL PARA OTRAS ENFERMEDADES Y TRASTORNOS ESPECIFICADOS</t>
  </si>
  <si>
    <r>
      <rPr>
        <b/>
        <sz val="11"/>
        <color theme="1"/>
        <rFont val="Calibri"/>
        <family val="2"/>
        <scheme val="minor"/>
      </rPr>
      <t>OPCIONAL:</t>
    </r>
    <r>
      <rPr>
        <sz val="11"/>
        <color theme="1"/>
        <rFont val="Calibri"/>
        <family val="2"/>
        <scheme val="minor"/>
      </rPr>
      <t xml:space="preserve">
* Z370 - NACIDO VIVO, ÚNICO             Ó
* Z280 - INMUNIZACIÓN NO REALIZADA POR EL CONTRARIO INDICACIÓN (CUANDO NO SE REGISTRA LA INMUNIZACION DE LA HVB)</t>
    </r>
  </si>
  <si>
    <r>
      <rPr>
        <b/>
        <sz val="11"/>
        <color theme="1"/>
        <rFont val="Calibri"/>
        <family val="2"/>
        <scheme val="minor"/>
      </rPr>
      <t>OBLIGATORIO:</t>
    </r>
    <r>
      <rPr>
        <sz val="11"/>
        <color theme="1"/>
        <rFont val="Calibri"/>
        <family val="2"/>
        <scheme val="minor"/>
      </rPr>
      <t xml:space="preserve">
</t>
    </r>
    <r>
      <rPr>
        <b/>
        <sz val="11"/>
        <color theme="1"/>
        <rFont val="Calibri"/>
        <family val="2"/>
        <scheme val="minor"/>
      </rPr>
      <t xml:space="preserve">* 59400 - </t>
    </r>
    <r>
      <rPr>
        <sz val="11"/>
        <color theme="1"/>
        <rFont val="Calibri"/>
        <family val="2"/>
        <scheme val="minor"/>
      </rPr>
      <t xml:space="preserve">Atencion obstetrica de rutina incluyendo atención preparto, parto vaginal (con o sin episiotomía, y/o fórceps) y atención postparto /Control de puerperio
</t>
    </r>
    <r>
      <rPr>
        <b/>
        <sz val="11"/>
        <color theme="1"/>
        <rFont val="Calibri"/>
        <family val="2"/>
        <scheme val="minor"/>
      </rPr>
      <t xml:space="preserve">* 99231 - </t>
    </r>
    <r>
      <rPr>
        <sz val="11"/>
        <color theme="1"/>
        <rFont val="Calibri"/>
        <family val="2"/>
        <scheme val="minor"/>
      </rPr>
      <t xml:space="preserve">Atención Paciente-Día Hospitalización
</t>
    </r>
    <r>
      <rPr>
        <b/>
        <sz val="11"/>
        <color theme="1"/>
        <rFont val="Calibri"/>
        <family val="2"/>
        <scheme val="minor"/>
      </rPr>
      <t>* 90782 -</t>
    </r>
    <r>
      <rPr>
        <sz val="11"/>
        <color theme="1"/>
        <rFont val="Calibri"/>
        <family val="2"/>
        <scheme val="minor"/>
      </rPr>
      <t xml:space="preserve"> Inyección profiláctica, diagnóstica o terapéutica; subcutánea o intramuscular
</t>
    </r>
    <r>
      <rPr>
        <b/>
        <sz val="11"/>
        <color theme="1"/>
        <rFont val="Calibri"/>
        <family val="2"/>
        <scheme val="minor"/>
      </rPr>
      <t xml:space="preserve">
OPCIONALES:</t>
    </r>
    <r>
      <rPr>
        <sz val="11"/>
        <color theme="1"/>
        <rFont val="Calibri"/>
        <family val="2"/>
        <scheme val="minor"/>
      </rPr>
      <t xml:space="preserve">
</t>
    </r>
    <r>
      <rPr>
        <b/>
        <sz val="11"/>
        <color theme="1"/>
        <rFont val="Calibri"/>
        <family val="2"/>
        <scheme val="minor"/>
      </rPr>
      <t>* 99209 -</t>
    </r>
    <r>
      <rPr>
        <sz val="11"/>
        <color theme="1"/>
        <rFont val="Calibri"/>
        <family val="2"/>
        <scheme val="minor"/>
      </rPr>
      <t xml:space="preserve"> Atencion en Nutrición
</t>
    </r>
    <r>
      <rPr>
        <b/>
        <sz val="11"/>
        <color theme="1"/>
        <rFont val="Calibri"/>
        <family val="2"/>
        <scheme val="minor"/>
      </rPr>
      <t xml:space="preserve">* 96365 - </t>
    </r>
    <r>
      <rPr>
        <sz val="11"/>
        <color theme="1"/>
        <rFont val="Calibri"/>
        <family val="2"/>
        <scheme val="minor"/>
      </rPr>
      <t>Infusión I.V</t>
    </r>
  </si>
  <si>
    <r>
      <rPr>
        <b/>
        <sz val="11"/>
        <color theme="1"/>
        <rFont val="Calibri"/>
        <family val="2"/>
        <scheme val="minor"/>
      </rPr>
      <t xml:space="preserve">OPCIONALES:
* O800  - </t>
    </r>
    <r>
      <rPr>
        <sz val="11"/>
        <color theme="1"/>
        <rFont val="Calibri"/>
        <family val="2"/>
        <scheme val="minor"/>
      </rPr>
      <t xml:space="preserve">Parto Único espontáneo, Presentación cefálica de vértice ,
                                              ó
</t>
    </r>
    <r>
      <rPr>
        <b/>
        <sz val="11"/>
        <color theme="1"/>
        <rFont val="Calibri"/>
        <family val="2"/>
        <scheme val="minor"/>
      </rPr>
      <t>* 0808  -</t>
    </r>
    <r>
      <rPr>
        <sz val="11"/>
        <color theme="1"/>
        <rFont val="Calibri"/>
        <family val="2"/>
        <scheme val="minor"/>
      </rPr>
      <t xml:space="preserve"> Parto unico espontáneo, otras presentaciones. 
                                              ó
</t>
    </r>
    <r>
      <rPr>
        <b/>
        <sz val="11"/>
        <color theme="1"/>
        <rFont val="Calibri"/>
        <family val="2"/>
        <scheme val="minor"/>
      </rPr>
      <t xml:space="preserve">* O801 </t>
    </r>
    <r>
      <rPr>
        <sz val="11"/>
        <color theme="1"/>
        <rFont val="Calibri"/>
        <family val="2"/>
        <scheme val="minor"/>
      </rPr>
      <t xml:space="preserve">-  Parto Unico espontáneo, Presentación de nalgas o podálica, 
                                                ó
</t>
    </r>
    <r>
      <rPr>
        <b/>
        <sz val="11"/>
        <color theme="1"/>
        <rFont val="Calibri"/>
        <family val="2"/>
        <scheme val="minor"/>
      </rPr>
      <t>* O364 -</t>
    </r>
    <r>
      <rPr>
        <sz val="11"/>
        <color theme="1"/>
        <rFont val="Calibri"/>
        <family val="2"/>
        <scheme val="minor"/>
      </rPr>
      <t xml:space="preserve">  Atención materna por muerte intrauterina
                                ó
</t>
    </r>
    <r>
      <rPr>
        <b/>
        <sz val="11"/>
        <color theme="1"/>
        <rFont val="Calibri"/>
        <family val="2"/>
        <scheme val="minor"/>
      </rPr>
      <t xml:space="preserve">* P95X  - </t>
    </r>
    <r>
      <rPr>
        <sz val="11"/>
        <color theme="1"/>
        <rFont val="Calibri"/>
        <family val="2"/>
        <scheme val="minor"/>
      </rPr>
      <t xml:space="preserve"> Muerte fetal de causa no especificada.</t>
    </r>
  </si>
  <si>
    <r>
      <rPr>
        <b/>
        <sz val="11"/>
        <color theme="1"/>
        <rFont val="Calibri"/>
        <family val="2"/>
        <scheme val="minor"/>
      </rPr>
      <t>OBLIGATORIO:</t>
    </r>
    <r>
      <rPr>
        <sz val="11"/>
        <color theme="1"/>
        <rFont val="Calibri"/>
        <family val="2"/>
        <scheme val="minor"/>
      </rPr>
      <t xml:space="preserve">
</t>
    </r>
    <r>
      <rPr>
        <b/>
        <sz val="11"/>
        <color theme="1"/>
        <rFont val="Calibri"/>
        <family val="2"/>
        <scheme val="minor"/>
      </rPr>
      <t xml:space="preserve">* 05253 - </t>
    </r>
    <r>
      <rPr>
        <sz val="11"/>
        <color theme="1"/>
        <rFont val="Calibri"/>
        <family val="2"/>
        <scheme val="minor"/>
      </rPr>
      <t xml:space="preserve"> Oxitocina 10 UI.
</t>
    </r>
    <r>
      <rPr>
        <b/>
        <sz val="11"/>
        <color theme="1"/>
        <rFont val="Calibri"/>
        <family val="2"/>
        <scheme val="minor"/>
      </rPr>
      <t xml:space="preserve">
INSUMOS - OPCIONALES:</t>
    </r>
    <r>
      <rPr>
        <sz val="11"/>
        <color theme="1"/>
        <rFont val="Calibri"/>
        <family val="2"/>
        <scheme val="minor"/>
      </rPr>
      <t xml:space="preserve">
</t>
    </r>
    <r>
      <rPr>
        <b/>
        <sz val="11"/>
        <color theme="1"/>
        <rFont val="Calibri"/>
        <family val="2"/>
        <scheme val="minor"/>
      </rPr>
      <t xml:space="preserve">* 25791  - </t>
    </r>
    <r>
      <rPr>
        <sz val="11"/>
        <color theme="1"/>
        <rFont val="Calibri"/>
        <family val="2"/>
        <scheme val="minor"/>
      </rPr>
      <t xml:space="preserve">Campo Qx desc. 45X 45 cm.
</t>
    </r>
    <r>
      <rPr>
        <b/>
        <sz val="11"/>
        <color theme="1"/>
        <rFont val="Calibri"/>
        <family val="2"/>
        <scheme val="minor"/>
      </rPr>
      <t>* 18931 -</t>
    </r>
    <r>
      <rPr>
        <sz val="11"/>
        <color theme="1"/>
        <rFont val="Calibri"/>
        <family val="2"/>
        <scheme val="minor"/>
      </rPr>
      <t xml:space="preserve"> Bota descartable para cirujano.
</t>
    </r>
    <r>
      <rPr>
        <b/>
        <sz val="11"/>
        <color theme="1"/>
        <rFont val="Calibri"/>
        <family val="2"/>
        <scheme val="minor"/>
      </rPr>
      <t xml:space="preserve">* 18726 - </t>
    </r>
    <r>
      <rPr>
        <sz val="11"/>
        <color theme="1"/>
        <rFont val="Calibri"/>
        <family val="2"/>
        <scheme val="minor"/>
      </rPr>
      <t xml:space="preserve">Gorro descartable
</t>
    </r>
    <r>
      <rPr>
        <b/>
        <sz val="11"/>
        <color theme="1"/>
        <rFont val="Calibri"/>
        <family val="2"/>
        <scheme val="minor"/>
      </rPr>
      <t xml:space="preserve">* 19492  </t>
    </r>
    <r>
      <rPr>
        <sz val="11"/>
        <color theme="1"/>
        <rFont val="Calibri"/>
        <family val="2"/>
        <scheme val="minor"/>
      </rPr>
      <t xml:space="preserve">- Mandilon descartable
</t>
    </r>
    <r>
      <rPr>
        <b/>
        <sz val="11"/>
        <color theme="1"/>
        <rFont val="Calibri"/>
        <family val="2"/>
        <scheme val="minor"/>
      </rPr>
      <t xml:space="preserve">* 23127 - </t>
    </r>
    <r>
      <rPr>
        <sz val="11"/>
        <color theme="1"/>
        <rFont val="Calibri"/>
        <family val="2"/>
        <scheme val="minor"/>
      </rPr>
      <t xml:space="preserve">Mascarilla descartable Qx.
</t>
    </r>
    <r>
      <rPr>
        <b/>
        <sz val="11"/>
        <color theme="1"/>
        <rFont val="Calibri"/>
        <family val="2"/>
        <scheme val="minor"/>
      </rPr>
      <t xml:space="preserve">* 19421 - </t>
    </r>
    <r>
      <rPr>
        <sz val="11"/>
        <color theme="1"/>
        <rFont val="Calibri"/>
        <family val="2"/>
        <scheme val="minor"/>
      </rPr>
      <t xml:space="preserve">Cateter Endovenoso N° 18.
</t>
    </r>
    <r>
      <rPr>
        <b/>
        <sz val="11"/>
        <color theme="1"/>
        <rFont val="Calibri"/>
        <family val="2"/>
        <scheme val="minor"/>
      </rPr>
      <t xml:space="preserve">* 10929 - </t>
    </r>
    <r>
      <rPr>
        <sz val="11"/>
        <color theme="1"/>
        <rFont val="Calibri"/>
        <family val="2"/>
        <scheme val="minor"/>
      </rPr>
      <t xml:space="preserve">Equipo de venoclisis
</t>
    </r>
    <r>
      <rPr>
        <b/>
        <sz val="11"/>
        <color theme="1"/>
        <rFont val="Calibri"/>
        <family val="2"/>
        <scheme val="minor"/>
      </rPr>
      <t xml:space="preserve">* 16571 </t>
    </r>
    <r>
      <rPr>
        <sz val="11"/>
        <color theme="1"/>
        <rFont val="Calibri"/>
        <family val="2"/>
        <scheme val="minor"/>
      </rPr>
      <t xml:space="preserve">- Guantes Qx 71/2.
</t>
    </r>
    <r>
      <rPr>
        <b/>
        <sz val="11"/>
        <color theme="1"/>
        <rFont val="Calibri"/>
        <family val="2"/>
        <scheme val="minor"/>
      </rPr>
      <t>* 20361 -</t>
    </r>
    <r>
      <rPr>
        <sz val="11"/>
        <color theme="1"/>
        <rFont val="Calibri"/>
        <family val="2"/>
        <scheme val="minor"/>
      </rPr>
      <t xml:space="preserve"> Llave de triple via
</t>
    </r>
    <r>
      <rPr>
        <b/>
        <sz val="11"/>
        <color theme="1"/>
        <rFont val="Calibri"/>
        <family val="2"/>
        <scheme val="minor"/>
      </rPr>
      <t>* 38284 -</t>
    </r>
    <r>
      <rPr>
        <sz val="11"/>
        <color theme="1"/>
        <rFont val="Calibri"/>
        <family val="2"/>
        <scheme val="minor"/>
      </rPr>
      <t xml:space="preserve"> Gasa esteri 10 x 10 x 16 plieges
</t>
    </r>
    <r>
      <rPr>
        <b/>
        <sz val="11"/>
        <color theme="1"/>
        <rFont val="Calibri"/>
        <family val="2"/>
        <scheme val="minor"/>
      </rPr>
      <t xml:space="preserve">* 11370 - </t>
    </r>
    <r>
      <rPr>
        <sz val="11"/>
        <color theme="1"/>
        <rFont val="Calibri"/>
        <family val="2"/>
        <scheme val="minor"/>
      </rPr>
      <t xml:space="preserve">Jeringa descartable 5 ml
</t>
    </r>
    <r>
      <rPr>
        <b/>
        <sz val="11"/>
        <color theme="1"/>
        <rFont val="Calibri"/>
        <family val="2"/>
        <scheme val="minor"/>
      </rPr>
      <t xml:space="preserve">* 11368 - </t>
    </r>
    <r>
      <rPr>
        <sz val="11"/>
        <color theme="1"/>
        <rFont val="Calibri"/>
        <family val="2"/>
        <scheme val="minor"/>
      </rPr>
      <t xml:space="preserve">Jeringa descartable 10 ml
</t>
    </r>
    <r>
      <rPr>
        <b/>
        <sz val="11"/>
        <color theme="1"/>
        <rFont val="Calibri"/>
        <family val="2"/>
        <scheme val="minor"/>
      </rPr>
      <t xml:space="preserve">* 12018 - </t>
    </r>
    <r>
      <rPr>
        <sz val="11"/>
        <color theme="1"/>
        <rFont val="Calibri"/>
        <family val="2"/>
        <scheme val="minor"/>
      </rPr>
      <t xml:space="preserve">Sutura catgut cromico 2/0 
</t>
    </r>
  </si>
  <si>
    <r>
      <rPr>
        <b/>
        <sz val="11"/>
        <color theme="1"/>
        <rFont val="Calibri"/>
        <family val="2"/>
        <scheme val="minor"/>
      </rPr>
      <t>OPCIONALES:</t>
    </r>
    <r>
      <rPr>
        <sz val="11"/>
        <color theme="1"/>
        <rFont val="Calibri"/>
        <family val="2"/>
        <scheme val="minor"/>
      </rPr>
      <t xml:space="preserve">
* K020 - CARIES LIMITADA AL ESMALTE
* K021 - CARIES DE LA DENTINA
* K022- CARIES DEL CEMENTO
* K029 - CARIES DENTAL, NO ESPECIFICADA
                                             Y/O 
OTRO DIAGNOSTICO DE ACUERDO CRITERIO DEL CIRUJANO DENTISTA.</t>
    </r>
  </si>
  <si>
    <r>
      <rPr>
        <b/>
        <sz val="11"/>
        <color theme="1"/>
        <rFont val="Calibri"/>
        <family val="2"/>
        <scheme val="minor"/>
      </rPr>
      <t>OPCIONALES:</t>
    </r>
    <r>
      <rPr>
        <sz val="11"/>
        <color theme="1"/>
        <rFont val="Calibri"/>
        <family val="2"/>
        <scheme val="minor"/>
      </rPr>
      <t xml:space="preserve">
* K04.0  -PULPITIS, 
* K04.1 -   NECROSIS PULPAR, 
* K07.3    ANOMALIAS DE LA POSICION DEL DIENTE
                                         Y/O 
OTRO DIAGNOSTICO DE ACUERDO CRITERIO DEL CIRUJANO DENTISTA.
* K047 - Acceso periapical sin fistula  </t>
    </r>
  </si>
  <si>
    <r>
      <rPr>
        <b/>
        <sz val="11"/>
        <color theme="1"/>
        <rFont val="Calibri"/>
        <family val="2"/>
        <scheme val="minor"/>
      </rPr>
      <t>OPCIONALES:</t>
    </r>
    <r>
      <rPr>
        <sz val="11"/>
        <color theme="1"/>
        <rFont val="Calibri"/>
        <family val="2"/>
        <scheme val="minor"/>
      </rPr>
      <t xml:space="preserve">
* K020 - CARIES LIMITADA AL ESMALTE
*  K021 - CARIES DE LA DENTINA
*  K022 - CARIES DEL CEMENTO
* K029 - CARIES DENTAL, NO ESPECIFICADA</t>
    </r>
  </si>
  <si>
    <r>
      <rPr>
        <b/>
        <sz val="11"/>
        <color theme="1"/>
        <rFont val="Calibri"/>
        <family val="2"/>
        <scheme val="minor"/>
      </rPr>
      <t>OPCIONAL:</t>
    </r>
    <r>
      <rPr>
        <sz val="11"/>
        <color theme="1"/>
        <rFont val="Calibri"/>
        <family val="2"/>
        <scheme val="minor"/>
      </rPr>
      <t xml:space="preserve">
* 57520 - Conización del cervix, con o sin fulguración, con o sin dilatación y legrado, con o sin corrección;cuchillo frío o láser
* 57522 - Conización del cervix, con o sin fulguración, con o sin dilatación y legrado, con o sin corrección; escisión con electrodo de asa
* 99282 - Atención de Emergencia, Prioridad I 
* 99283 - Atención de Emergencia, Prioridad II
* 99284 - Atención de Emergencia, Prioridad III
* 99285 - Atención de Emergencia, Prioridad IV
* 99234 - Atención en sala de observación 
* OTROS PROCEDIMIENTOS QUE SE REALIZA 
* OTROS PROCEDIMIENTOS QUE SE REALIZA  DE ACUERDO A LA RJ N° 017-2019/SIS, RJ N° 99-2019/SIS.</t>
    </r>
  </si>
  <si>
    <r>
      <rPr>
        <b/>
        <sz val="11"/>
        <color theme="1"/>
        <rFont val="Calibri"/>
        <family val="2"/>
        <scheme val="minor"/>
      </rPr>
      <t>OPCIONAL:</t>
    </r>
    <r>
      <rPr>
        <sz val="11"/>
        <color theme="1"/>
        <rFont val="Calibri"/>
        <family val="2"/>
        <scheme val="minor"/>
      </rPr>
      <t xml:space="preserve">
* 81005 - Exámen completo de orina
* 85018 - Dosaje de Hemoglobina Ó
* 85007 - Hemograma Ó
* 85027 - Hemograma Completo Ó
* 85031 - Hemograma completo, tercera generación
* 86701 - HIV-1, anticuerpos
* DE ACUERDO  A SOLICITUD DE EXAMENES DE APOYO AL DIAGNOSTICO EMITIDA POR PROFESIONAL
 </t>
    </r>
  </si>
  <si>
    <r>
      <rPr>
        <b/>
        <sz val="11"/>
        <color theme="1"/>
        <rFont val="Calibri"/>
        <family val="2"/>
        <scheme val="minor"/>
      </rPr>
      <t>OPCIONAL:</t>
    </r>
    <r>
      <rPr>
        <sz val="11"/>
        <color theme="1"/>
        <rFont val="Calibri"/>
        <family val="2"/>
        <scheme val="minor"/>
      </rPr>
      <t xml:space="preserve">
* 99402.05 - CONSEJERÍA/ORIENTACIÓN EN PREVENCIÓN DE ITS, VIH, HEPATITIS B
 </t>
    </r>
  </si>
  <si>
    <r>
      <rPr>
        <b/>
        <sz val="11"/>
        <color theme="1"/>
        <rFont val="Calibri"/>
        <family val="2"/>
        <scheme val="minor"/>
      </rPr>
      <t>OPCIONAL:</t>
    </r>
    <r>
      <rPr>
        <sz val="11"/>
        <color theme="1"/>
        <rFont val="Calibri"/>
        <family val="2"/>
        <scheme val="minor"/>
      </rPr>
      <t xml:space="preserve">
* N760 - Vaginitis Aguda
* A64X - Enfermedad  De Transmisión Sexual No Especificada
* N739 - Enfermedad Inflamatoria Sexual No Especificada
* R36X - Desacarga Uretral
* A539 - Sifiis, No especificada </t>
    </r>
  </si>
  <si>
    <r>
      <rPr>
        <b/>
        <sz val="11"/>
        <color theme="1"/>
        <rFont val="Calibri"/>
        <family val="2"/>
        <scheme val="minor"/>
      </rPr>
      <t>OBLIGATORIO:</t>
    </r>
    <r>
      <rPr>
        <sz val="11"/>
        <color theme="1"/>
        <rFont val="Calibri"/>
        <family val="2"/>
        <scheme val="minor"/>
      </rPr>
      <t xml:space="preserve">
* Z001 - Control de Salud de rutina del niño (Niño Normal)  (Z001)
</t>
    </r>
    <r>
      <rPr>
        <b/>
        <sz val="11"/>
        <color theme="1"/>
        <rFont val="Calibri"/>
        <family val="2"/>
        <scheme val="minor"/>
      </rPr>
      <t xml:space="preserve">
OPCIONAL:</t>
    </r>
    <r>
      <rPr>
        <sz val="11"/>
        <color theme="1"/>
        <rFont val="Calibri"/>
        <family val="2"/>
        <scheme val="minor"/>
      </rPr>
      <t xml:space="preserve">
* E43X - Desnutrición Proteico calórica Severa, No Especificada (Delgadez severa) Ó
* Z91.8 - Historia personal de otros factores de riesgo, no clasificados en otra parte (Riesgo de desnutrición). Ó
* E440 - Desnutrición Proteico calórica Moderada (Delgadez) ) Ó
* E660 - Obesidad debida a exceso de Calorías  (Sobrepeso)  Ó
* E669 - Obesidad, No especificada
</t>
    </r>
    <r>
      <rPr>
        <b/>
        <sz val="11"/>
        <color theme="1"/>
        <rFont val="Calibri"/>
        <family val="2"/>
        <scheme val="minor"/>
      </rPr>
      <t>ADICIONAL:</t>
    </r>
    <r>
      <rPr>
        <sz val="11"/>
        <color theme="1"/>
        <rFont val="Calibri"/>
        <family val="2"/>
        <scheme val="minor"/>
      </rPr>
      <t xml:space="preserve">
* E45X - Retardo del Desarrollo debido a Desnutrición Proteico calórica (Talla baja) Ó
* E344 - Estatura alta Constitucional (Talla alta)</t>
    </r>
  </si>
  <si>
    <r>
      <rPr>
        <b/>
        <sz val="11"/>
        <color theme="1"/>
        <rFont val="Calibri"/>
        <family val="2"/>
        <scheme val="minor"/>
      </rPr>
      <t>INSUMOS:</t>
    </r>
    <r>
      <rPr>
        <sz val="11"/>
        <color theme="1"/>
        <rFont val="Calibri"/>
        <family val="2"/>
        <scheme val="minor"/>
      </rPr>
      <t xml:space="preserve">
* 30586 - LANCETA RETRACTIL 1 UNIDAD
* 33891 -  MICROCUBETA HEMOCUE.-1 UNIDAD
* 33481 - MICROCUBETA HEMOCONTRO-1 UND              
* 23367- GUANTE PARA EXAMEN TALLA M - 1 UNIDAD
                                   ó
* 23726 - GUANTE PARA EXAMEN TALLA S - 1 UNIDAD</t>
    </r>
  </si>
  <si>
    <t xml:space="preserve">RC31:
* 85018 - Dosaje de Hemoglobina Ó
* 85007 - Hemograma Ó
* 85027 - Hemograma Completo Ó
* 85031 - Hemograma completo, tercera generación 
RC39: 
* 92015 - Refracción y medición de la visión </t>
  </si>
  <si>
    <r>
      <rPr>
        <b/>
        <sz val="11"/>
        <color theme="1"/>
        <rFont val="Calibri"/>
        <family val="2"/>
        <scheme val="minor"/>
      </rPr>
      <t>OBLIGATORIO:</t>
    </r>
    <r>
      <rPr>
        <sz val="11"/>
        <color theme="1"/>
        <rFont val="Calibri"/>
        <family val="2"/>
        <scheme val="minor"/>
      </rPr>
      <t xml:space="preserve">
* Z743 - Problemas  relacionados con la necesidad de supervision continua. </t>
    </r>
  </si>
  <si>
    <r>
      <rPr>
        <b/>
        <sz val="11"/>
        <color theme="1"/>
        <rFont val="Calibri"/>
        <family val="2"/>
        <scheme val="minor"/>
      </rPr>
      <t>OPCIONALES:</t>
    </r>
    <r>
      <rPr>
        <sz val="11"/>
        <color theme="1"/>
        <rFont val="Calibri"/>
        <family val="2"/>
        <scheme val="minor"/>
      </rPr>
      <t xml:space="preserve">
* Z316 - Consejo y Asesoramiento General Sobre La Procreación        Ó
* Z008 - Otros Examenes Especiales</t>
    </r>
  </si>
  <si>
    <r>
      <rPr>
        <b/>
        <sz val="11"/>
        <color theme="1"/>
        <rFont val="Calibri"/>
        <family val="2"/>
        <scheme val="minor"/>
      </rPr>
      <t>MEDICAMENTO:</t>
    </r>
    <r>
      <rPr>
        <sz val="11"/>
        <color theme="1"/>
        <rFont val="Calibri"/>
        <family val="2"/>
        <scheme val="minor"/>
      </rPr>
      <t xml:space="preserve">
* 00200 - ACIDO FOLICO 
(30Tab en las 3 atenciones)</t>
    </r>
  </si>
  <si>
    <r>
      <rPr>
        <b/>
        <sz val="11"/>
        <color theme="1"/>
        <rFont val="Calibri"/>
        <family val="2"/>
        <scheme val="minor"/>
      </rPr>
      <t>OBLIGATORIO:</t>
    </r>
    <r>
      <rPr>
        <sz val="11"/>
        <color theme="1"/>
        <rFont val="Calibri"/>
        <family val="2"/>
        <scheme val="minor"/>
      </rPr>
      <t xml:space="preserve">
</t>
    </r>
    <r>
      <rPr>
        <b/>
        <sz val="11"/>
        <color theme="1"/>
        <rFont val="Calibri"/>
        <family val="2"/>
        <scheme val="minor"/>
      </rPr>
      <t xml:space="preserve">* Z000 - </t>
    </r>
    <r>
      <rPr>
        <sz val="11"/>
        <color theme="1"/>
        <rFont val="Calibri"/>
        <family val="2"/>
        <scheme val="minor"/>
      </rPr>
      <t xml:space="preserve">EXAMEN MEDICO GENERAL(NORMAL) 
</t>
    </r>
    <r>
      <rPr>
        <b/>
        <sz val="11"/>
        <color theme="1"/>
        <rFont val="Calibri"/>
        <family val="2"/>
        <scheme val="minor"/>
      </rPr>
      <t>OPCIONAL:</t>
    </r>
    <r>
      <rPr>
        <sz val="11"/>
        <color theme="1"/>
        <rFont val="Calibri"/>
        <family val="2"/>
        <scheme val="minor"/>
      </rPr>
      <t xml:space="preserve">
</t>
    </r>
    <r>
      <rPr>
        <b/>
        <sz val="11"/>
        <color theme="1"/>
        <rFont val="Calibri"/>
        <family val="2"/>
        <scheme val="minor"/>
      </rPr>
      <t>* E440 -</t>
    </r>
    <r>
      <rPr>
        <sz val="11"/>
        <color theme="1"/>
        <rFont val="Calibri"/>
        <family val="2"/>
        <scheme val="minor"/>
      </rPr>
      <t xml:space="preserve"> Desnutrición Proteico calórica Moderada (Delgadez) ó
</t>
    </r>
    <r>
      <rPr>
        <b/>
        <sz val="11"/>
        <color theme="1"/>
        <rFont val="Calibri"/>
        <family val="2"/>
        <scheme val="minor"/>
      </rPr>
      <t>* E660  -</t>
    </r>
    <r>
      <rPr>
        <sz val="11"/>
        <color theme="1"/>
        <rFont val="Calibri"/>
        <family val="2"/>
        <scheme val="minor"/>
      </rPr>
      <t xml:space="preserve"> Obesidad debida a exceso de Calorías  (Sobrepeso) ó 
</t>
    </r>
    <r>
      <rPr>
        <b/>
        <sz val="11"/>
        <color theme="1"/>
        <rFont val="Calibri"/>
        <family val="2"/>
        <scheme val="minor"/>
      </rPr>
      <t xml:space="preserve">* E669  </t>
    </r>
    <r>
      <rPr>
        <sz val="11"/>
        <color theme="1"/>
        <rFont val="Calibri"/>
        <family val="2"/>
        <scheme val="minor"/>
      </rPr>
      <t>- Obesidad, No especificada .</t>
    </r>
  </si>
  <si>
    <r>
      <rPr>
        <b/>
        <sz val="11"/>
        <color theme="1"/>
        <rFont val="Calibri"/>
        <family val="2"/>
        <scheme val="minor"/>
      </rPr>
      <t>OBLIGATORIO:</t>
    </r>
    <r>
      <rPr>
        <sz val="11"/>
        <color theme="1"/>
        <rFont val="Calibri"/>
        <family val="2"/>
        <scheme val="minor"/>
      </rPr>
      <t xml:space="preserve">
* O990 - ANEMIA QUE COMPLICA EL EMBARAZO, EL PARTO Y EL PUERPERIO</t>
    </r>
  </si>
  <si>
    <t xml:space="preserve">
* Z515 - ATENCION PALIATIVA
                                  + 
DIAGNOSTICO DE PATOLOGIA QUE AMERITA SEGUIMIENTO 
* OTROS DE ACUERDO A LA VISITA</t>
  </si>
  <si>
    <r>
      <rPr>
        <b/>
        <sz val="11"/>
        <color theme="1"/>
        <rFont val="Calibri"/>
        <family val="2"/>
        <scheme val="minor"/>
      </rPr>
      <t xml:space="preserve">* 99349 - </t>
    </r>
    <r>
      <rPr>
        <sz val="11"/>
        <color theme="1"/>
        <rFont val="Calibri"/>
        <family val="2"/>
        <scheme val="minor"/>
      </rPr>
      <t>CONSULTA A DOMICILIO PARA EL MANEJO Y EVALUACION DE UN PACIENTE CONTIMUADOR DE GRAVEDAD MODERADA</t>
    </r>
  </si>
  <si>
    <r>
      <rPr>
        <b/>
        <sz val="11"/>
        <color theme="1"/>
        <rFont val="Calibri"/>
        <family val="2"/>
        <scheme val="minor"/>
      </rPr>
      <t>OBLIGATORIO:</t>
    </r>
    <r>
      <rPr>
        <sz val="11"/>
        <color theme="1"/>
        <rFont val="Calibri"/>
        <family val="2"/>
        <scheme val="minor"/>
      </rPr>
      <t xml:space="preserve">
* 76805 - ECOGRAFIA OBSTETRICA</t>
    </r>
  </si>
  <si>
    <r>
      <rPr>
        <b/>
        <sz val="11"/>
        <color theme="1"/>
        <rFont val="Calibri"/>
        <family val="2"/>
        <scheme val="minor"/>
      </rPr>
      <t>OBLIGATORIO:</t>
    </r>
    <r>
      <rPr>
        <sz val="11"/>
        <color theme="1"/>
        <rFont val="Calibri"/>
        <family val="2"/>
        <scheme val="minor"/>
      </rPr>
      <t xml:space="preserve">
* Z368 - OTRAS PESQUISAS PRENATALES ESPECIFICAS
* Z369 - PESQUISA PRENATAL, SIN OTRA ESPECIFICACION
</t>
    </r>
    <r>
      <rPr>
        <b/>
        <sz val="11"/>
        <color theme="1"/>
        <rFont val="Calibri"/>
        <family val="2"/>
        <scheme val="minor"/>
      </rPr>
      <t xml:space="preserve">OPCIONAL: </t>
    </r>
    <r>
      <rPr>
        <sz val="11"/>
        <color theme="1"/>
        <rFont val="Calibri"/>
        <family val="2"/>
        <scheme val="minor"/>
      </rPr>
      <t>DE EXISTIR PATOLOGIA OBSTETRICA 
* O410 - OLIGOHIDRAMNIOS
* O40X - POLIHIDRAMNIOS</t>
    </r>
  </si>
  <si>
    <r>
      <rPr>
        <b/>
        <sz val="11"/>
        <color theme="1"/>
        <rFont val="Calibri"/>
        <family val="2"/>
        <scheme val="minor"/>
      </rPr>
      <t>OBLIGATORIO:</t>
    </r>
    <r>
      <rPr>
        <sz val="11"/>
        <color theme="1"/>
        <rFont val="Calibri"/>
        <family val="2"/>
        <scheme val="minor"/>
      </rPr>
      <t xml:space="preserve">
* Z320 - EMBARAZO (AUN) NO CONFIRMADO</t>
    </r>
  </si>
  <si>
    <r>
      <rPr>
        <b/>
        <sz val="11"/>
        <color theme="1"/>
        <rFont val="Calibri"/>
        <family val="2"/>
        <scheme val="minor"/>
      </rPr>
      <t>OBLIGATORIO:</t>
    </r>
    <r>
      <rPr>
        <sz val="11"/>
        <color theme="1"/>
        <rFont val="Calibri"/>
        <family val="2"/>
        <scheme val="minor"/>
      </rPr>
      <t xml:space="preserve">
* Z300 - Consejo y asesoramiento general sobre la anticoncepción
</t>
    </r>
    <r>
      <rPr>
        <b/>
        <sz val="11"/>
        <color theme="1"/>
        <rFont val="Calibri"/>
        <family val="2"/>
        <scheme val="minor"/>
      </rPr>
      <t xml:space="preserve">
OPCIONALES:</t>
    </r>
    <r>
      <rPr>
        <sz val="11"/>
        <color theme="1"/>
        <rFont val="Calibri"/>
        <family val="2"/>
        <scheme val="minor"/>
      </rPr>
      <t xml:space="preserve">
* Z301 - Inserción de dispositivo anticonceptivo (intrauterino)
* Z305 - Supervisión del uso de dispositivo anticonceptivo (intrauterino)
* Z304 - Supervisión del uso de drogas anticonceptivas (Hormonales)
* Z309 - Asistencia para la anticoncepción, no especificada (Barrera)
* Z308 - Otras atenciones especificadas para la anticoncepción (oral de emergencia, implantes)</t>
    </r>
  </si>
  <si>
    <r>
      <rPr>
        <b/>
        <sz val="11"/>
        <color theme="1"/>
        <rFont val="Calibri"/>
        <family val="2"/>
        <scheme val="minor"/>
      </rPr>
      <t xml:space="preserve">OBLIGATORIO: </t>
    </r>
    <r>
      <rPr>
        <sz val="11"/>
        <color theme="1"/>
        <rFont val="Calibri"/>
        <family val="2"/>
        <scheme val="minor"/>
      </rPr>
      <t xml:space="preserve">
* D1330 - Instrucción de Higiene Oral
* D1310 - Asesoría nutricional para el control de enfermedades dentales</t>
    </r>
  </si>
  <si>
    <t>* I-1 : Lic. Enfermeria, Obstetra.
* I-2 : Lic. Enfermeria, Obstetra, Medico.
* I-3 : Obstetra, Medico.
* I-4 : Obstetra, Medico, ME.</t>
  </si>
  <si>
    <t>* I-1 : Tec. Enfermeria, Lic. Enfermeria, Obstetra, Medico
* I-2 : Tec. Enfermeria, Lic. Enfermeria, Obstetra, Medico
* I-3 :Lic. Enfermeria (e), Obstetra, Medico, psicologo
* I-4 : Obstetra, Medico, ME, psicologo</t>
  </si>
  <si>
    <t>* I-1 : Tec. Enfermeria,Lic. Enfermeria, Obstetra, Medico.
* I-2 : Lic. Enfermeria, Obstetra, Medico.
* I-3 : Obstetra, Medico,ME.
* I-4 : Obstetra, Medico,ME.</t>
  </si>
  <si>
    <t>* I-1 : Tec. Enfermeria,Lic. Enfermeria, Obstetra, Medico.
* I-2 : Lic. Enfermeria, Obstetra, Medico, BILG.
* I-3 : Obstetra,  Medico, BILG, Tec. Medic.
* I-4 : Medico, BILG, Tec. Medic.</t>
  </si>
  <si>
    <t>*  04 CRED
Entre  0 - 28 dias</t>
  </si>
  <si>
    <t>* Dia: 01
* Mes: 02
* Año: 04
* Intervalo: Ninguno
AÑO CALENDARIO</t>
  </si>
  <si>
    <r>
      <rPr>
        <b/>
        <sz val="11"/>
        <color theme="1"/>
        <rFont val="Calibri"/>
        <family val="2"/>
        <scheme val="minor"/>
      </rPr>
      <t xml:space="preserve">OBLIGATORIO :
* Z91.8 </t>
    </r>
    <r>
      <rPr>
        <sz val="11"/>
        <color theme="1"/>
        <rFont val="Calibri"/>
        <family val="2"/>
        <scheme val="minor"/>
      </rPr>
      <t xml:space="preserve">- Historia personal de otros factores de riesgo, no clasificados en otra parte (Riesgo de desnutrición). Ó
</t>
    </r>
    <r>
      <rPr>
        <b/>
        <sz val="11"/>
        <color theme="1"/>
        <rFont val="Calibri"/>
        <family val="2"/>
        <scheme val="minor"/>
      </rPr>
      <t xml:space="preserve">* E43X </t>
    </r>
    <r>
      <rPr>
        <sz val="11"/>
        <color theme="1"/>
        <rFont val="Calibri"/>
        <family val="2"/>
        <scheme val="minor"/>
      </rPr>
      <t xml:space="preserve">- Desnutrición Proteico calórica Severa, No Especificada (Delgadez severa)     Ó
</t>
    </r>
    <r>
      <rPr>
        <b/>
        <sz val="11"/>
        <color theme="1"/>
        <rFont val="Calibri"/>
        <family val="2"/>
        <scheme val="minor"/>
      </rPr>
      <t>* E440 -</t>
    </r>
    <r>
      <rPr>
        <sz val="11"/>
        <color theme="1"/>
        <rFont val="Calibri"/>
        <family val="2"/>
        <scheme val="minor"/>
      </rPr>
      <t xml:space="preserve">  Desnutrición Proteico calórica Moderada (Delgadez) Ó
</t>
    </r>
    <r>
      <rPr>
        <b/>
        <sz val="11"/>
        <color theme="1"/>
        <rFont val="Calibri"/>
        <family val="2"/>
        <scheme val="minor"/>
      </rPr>
      <t>* E660 -</t>
    </r>
    <r>
      <rPr>
        <sz val="11"/>
        <color theme="1"/>
        <rFont val="Calibri"/>
        <family val="2"/>
        <scheme val="minor"/>
      </rPr>
      <t xml:space="preserve"> Obesidad debida a exceso de Calorías  (Sobrepeso) Ó
</t>
    </r>
    <r>
      <rPr>
        <b/>
        <sz val="11"/>
        <color theme="1"/>
        <rFont val="Calibri"/>
        <family val="2"/>
        <scheme val="minor"/>
      </rPr>
      <t>* E669 -</t>
    </r>
    <r>
      <rPr>
        <sz val="11"/>
        <color theme="1"/>
        <rFont val="Calibri"/>
        <family val="2"/>
        <scheme val="minor"/>
      </rPr>
      <t xml:space="preserve"> Obesidad, No especificada 
</t>
    </r>
    <r>
      <rPr>
        <b/>
        <sz val="11"/>
        <color theme="1"/>
        <rFont val="Calibri"/>
        <family val="2"/>
        <scheme val="minor"/>
      </rPr>
      <t xml:space="preserve">
ADICIONAL :
* E45X -</t>
    </r>
    <r>
      <rPr>
        <sz val="11"/>
        <color theme="1"/>
        <rFont val="Calibri"/>
        <family val="2"/>
        <scheme val="minor"/>
      </rPr>
      <t xml:space="preserve"> Retardo del Desarrollo debido a Desnutrición Proteico calórica (Talla baja) Ó
</t>
    </r>
    <r>
      <rPr>
        <b/>
        <sz val="11"/>
        <color theme="1"/>
        <rFont val="Calibri"/>
        <family val="2"/>
        <scheme val="minor"/>
      </rPr>
      <t xml:space="preserve">* E344 - </t>
    </r>
    <r>
      <rPr>
        <sz val="11"/>
        <color theme="1"/>
        <rFont val="Calibri"/>
        <family val="2"/>
        <scheme val="minor"/>
      </rPr>
      <t xml:space="preserve">Estatura alta Constitucional (Talla alta) 
</t>
    </r>
  </si>
  <si>
    <t>* Edad minima: 25 años
* Edad Maxima: 65 Años 
SEXO: 
* Femenino</t>
  </si>
  <si>
    <r>
      <rPr>
        <b/>
        <sz val="11"/>
        <color theme="1"/>
        <rFont val="Calibri"/>
        <family val="2"/>
        <scheme val="minor"/>
      </rPr>
      <t>OBLIGATORIO:</t>
    </r>
    <r>
      <rPr>
        <sz val="11"/>
        <color theme="1"/>
        <rFont val="Calibri"/>
        <family val="2"/>
        <scheme val="minor"/>
      </rPr>
      <t xml:space="preserve">
* 88150.01 - CITO PATOLOGÍA CERVICAL 0 VAGINAL V TAMIZAJE MANUAL (PAPAN ICOLAOU)       Ó
* 88141.01 - INSPECCION VISUAL ACIDO ACETICO (IVAA) (30 a 49 años)(Debera colocar el RESULTADO de acuerdo al Hallazgo: NORMAL ó ANORMAL.
* 99386.03 EXAMEN CLINICO DE MAMA</t>
    </r>
  </si>
  <si>
    <t>MEDICAMENTO E INSUMOS
OBLIGATORIO: 03576 - Fitomeniadiona, Obligatorio (Vit K) 06111 - TETRACICLINA CLORHIDRATO ungüento oftalmico 15287 - BRAZALETE DE IDENTIFICACION PARA NIÑO 15288- BRAZALETE DE IDENTIFICACION PARA NIÑA 15276 - BOMBILLA DE ASPIRACION N° 6 18931 - BOTA DESCARTABLE 11375 - JERINGA DESCARTABLE DE 1 ml CON AGUJA DE 25G X 3/8 10554 - CLAMP UMBILICAL 18726 - GORRO DESCARTABLE 16656 - JERINGA DESCARTABLE DE 1 mL con AGUJA DE 25 G X 5/8 21395 - MANDIL DESCARTABLE 11345 - AGUJA DESCARTABLE DE TUBERCULINA 1 ml CON AGUJA 25G X 3/8 OPCIONAL: * 01841  Ciprofloxacino                      ó * 18582  Sulfacetamida sódica                      ó</t>
  </si>
  <si>
    <r>
      <rPr>
        <b/>
        <sz val="11"/>
        <color theme="1"/>
        <rFont val="Calibri"/>
        <family val="2"/>
        <scheme val="minor"/>
      </rPr>
      <t>OBLIGATORIO:</t>
    </r>
    <r>
      <rPr>
        <sz val="11"/>
        <color theme="1"/>
        <rFont val="Calibri"/>
        <family val="2"/>
        <scheme val="minor"/>
      </rPr>
      <t xml:space="preserve">
* 99403.01 - Consejeria Nutricional        Ó
* 99401.02 - Consejeria en Lactacia materna
* 86900 - Tipificación de sangre; ABO 
* 86901 - Tipificación de sangre; Rh (D) (POSITIVO y/o NEGATIVO) 
</t>
    </r>
    <r>
      <rPr>
        <b/>
        <sz val="11"/>
        <color theme="1"/>
        <rFont val="Calibri"/>
        <family val="2"/>
        <scheme val="minor"/>
      </rPr>
      <t>OPCIONAL:</t>
    </r>
    <r>
      <rPr>
        <sz val="11"/>
        <color theme="1"/>
        <rFont val="Calibri"/>
        <family val="2"/>
        <scheme val="minor"/>
      </rPr>
      <t xml:space="preserve">
* 90782 - Inyectable intramuscular
* 15854 - Curacion de Herida Primaria  
* 90471 - Inmunización 
</t>
    </r>
  </si>
  <si>
    <t>RANGO DE EDAD:
 * Edad minima: 00 dias
* Edad Maxima: 12 meses 
SEXO: 
* Ambos</t>
  </si>
  <si>
    <t>RANGO DE EDAD:
 * Edad minima: 00 dias
* Edad Maxima: 4 años
SEXO: 
* Ambos</t>
  </si>
  <si>
    <t>RANGO DE EDAD:
 * Edad minima: 00 dias
* Edad Maxima: 4 años 
SEXO: 
* Ambos</t>
  </si>
  <si>
    <t>RANGO DE EDAD:
 * Edad minima: 00 dias
* Edad Maxima: 12 meses
SEXO: 
* Ambos</t>
  </si>
  <si>
    <t>* Edad minima: 18 años
* Edad Maxima: 59 años 
SEXO: 
* Ambos</t>
  </si>
  <si>
    <t>* Edad minima: 50 años
* Edad Maxima: 75 años 
SEXO: 
* Masculino</t>
  </si>
  <si>
    <t>NINGUNO</t>
  </si>
  <si>
    <t xml:space="preserve">* Alta                                                                                                                                                                                                                                                                                                                                                                                                                                                                                                                                                                                                                                                                                                                                                                                                                                                                                                                                                                                                                                                                                                                                                                                                                                                                                                                                                                                                                                                                                                                                                                                                                                                                                                                                                                                                                                                                                                                                                                                                                                                                                                                                                                                                                                
* </t>
  </si>
  <si>
    <t xml:space="preserve"> * Edad minima: 00 dias
* Edad Maxima: 11 años 
SEXO: 
* Ambos</t>
  </si>
  <si>
    <t xml:space="preserve">* I-1 : Obstetra, MEDICO
* I-2 : Obstetra, Medico.
</t>
  </si>
  <si>
    <t xml:space="preserve"> </t>
  </si>
  <si>
    <r>
      <rPr>
        <b/>
        <sz val="11"/>
        <color theme="1"/>
        <rFont val="Calibri"/>
        <family val="2"/>
        <scheme val="minor"/>
      </rPr>
      <t>* 00200 -</t>
    </r>
    <r>
      <rPr>
        <sz val="11"/>
        <color theme="1"/>
        <rFont val="Calibri"/>
        <family val="2"/>
        <scheme val="minor"/>
      </rPr>
      <t xml:space="preserve"> Acido folico (hasta las 13ss)
</t>
    </r>
    <r>
      <rPr>
        <b/>
        <sz val="11"/>
        <color theme="1"/>
        <rFont val="Calibri"/>
        <family val="2"/>
        <scheme val="minor"/>
      </rPr>
      <t xml:space="preserve">* 03513 -  </t>
    </r>
    <r>
      <rPr>
        <sz val="11"/>
        <color theme="1"/>
        <rFont val="Calibri"/>
        <family val="2"/>
        <scheme val="minor"/>
      </rPr>
      <t xml:space="preserve">Ácido Fólico + Ferroso Sulfato (Equiv. De Hierro elemental) (apartir de 14 ss hasta culminar el embarazo) 
 33577 HIERRO ELEMENTAL  35542 3552  20635
</t>
    </r>
    <r>
      <rPr>
        <b/>
        <sz val="11"/>
        <color theme="1"/>
        <rFont val="Calibri"/>
        <family val="2"/>
        <scheme val="minor"/>
      </rPr>
      <t xml:space="preserve">* 020635 - </t>
    </r>
    <r>
      <rPr>
        <sz val="11"/>
        <color theme="1"/>
        <rFont val="Calibri"/>
        <family val="2"/>
        <scheme val="minor"/>
      </rPr>
      <t>Carbonato de Calcio (apartir de de las 20ss)</t>
    </r>
  </si>
  <si>
    <r>
      <rPr>
        <b/>
        <sz val="11"/>
        <color theme="1"/>
        <rFont val="Calibri"/>
        <family val="2"/>
        <scheme val="minor"/>
      </rPr>
      <t>MEDICAMENTO:</t>
    </r>
    <r>
      <rPr>
        <sz val="11"/>
        <color theme="1"/>
        <rFont val="Calibri"/>
        <family val="2"/>
        <scheme val="minor"/>
      </rPr>
      <t xml:space="preserve">
* 03513 - Sulfato Ferroso + Acido Folico    400 mg + 60mg (30tab) 
33577 Ó 35542 Ó 3552
</t>
    </r>
    <r>
      <rPr>
        <b/>
        <sz val="11"/>
        <color theme="1"/>
        <rFont val="Calibri"/>
        <family val="2"/>
        <scheme val="minor"/>
      </rPr>
      <t>INSUMOS:</t>
    </r>
    <r>
      <rPr>
        <sz val="11"/>
        <color theme="1"/>
        <rFont val="Calibri"/>
        <family val="2"/>
        <scheme val="minor"/>
      </rPr>
      <t xml:space="preserve">
* 16571 - Guante para Examen Desacartable N° 7 1/2 (PAR)
* 21377 - Lanceta Retractil Descartablle Adulto
* 19698 - Microcubeta de Plastico Descartable para hemoglobinometro 10UI
</t>
    </r>
  </si>
  <si>
    <t>* I-2 : Psicologo.
* I-3 : Nutricionista, OBSTETRA.
* I-4 : Nutricionista, OBSTETRA.</t>
  </si>
  <si>
    <t>COD_300</t>
  </si>
  <si>
    <t>TELEMEDICINA</t>
  </si>
  <si>
    <t>* Edad minima: 00 dias
* Edad Maxima: 120 Años
SEXO: 
Ambos</t>
  </si>
  <si>
    <t>99499.01 Teleconsulta en Línea 
99499.02 Teleecografía en Línea 
99499.03 Teleconsulta fuera de Línea 
99499.04 Teleecografía + Teleconsulta en Línea 
99499.05 Teleradiografía fuera de Línea 
99499.06 Teletomografía fuera de Línea 
99499.07 Telemamografía fuera de Línea 
99499.08 Teleorientación síncrona 
99499.09 Teleorientación asíncrona 
99499.10 Telemonitoreo 
99499.11 Teleinterconsulta síncrona 
99499.12 Teleinterconsulta asíncrona</t>
  </si>
  <si>
    <r>
      <rPr>
        <b/>
        <sz val="11"/>
        <color theme="1"/>
        <rFont val="Calibri"/>
        <family val="2"/>
        <scheme val="minor"/>
      </rPr>
      <t>OPCIONALES:</t>
    </r>
    <r>
      <rPr>
        <sz val="11"/>
        <color theme="1"/>
        <rFont val="Calibri"/>
        <family val="2"/>
        <scheme val="minor"/>
      </rPr>
      <t xml:space="preserve">
</t>
    </r>
    <r>
      <rPr>
        <b/>
        <sz val="11"/>
        <color theme="1"/>
        <rFont val="Calibri"/>
        <family val="2"/>
        <scheme val="minor"/>
      </rPr>
      <t>* 99381 -</t>
    </r>
    <r>
      <rPr>
        <sz val="11"/>
        <color theme="1"/>
        <rFont val="Calibri"/>
        <family val="2"/>
        <scheme val="minor"/>
      </rPr>
      <t xml:space="preserve"> ATENCIÓN INTEGRAL DE SALUD DEL NIÑO CRED &lt;1 año.
* 99382 - ATENCIÓN INTEGRAL DE SALUD DEL NIÑO CRED 1 año.a 4 años
</t>
    </r>
    <r>
      <rPr>
        <b/>
        <sz val="11"/>
        <color theme="1"/>
        <rFont val="Calibri"/>
        <family val="2"/>
        <scheme val="minor"/>
      </rPr>
      <t>* 99403 -</t>
    </r>
    <r>
      <rPr>
        <sz val="11"/>
        <color theme="1"/>
        <rFont val="Calibri"/>
        <family val="2"/>
        <scheme val="minor"/>
      </rPr>
      <t xml:space="preserve"> CONSEJERIA NUTRICIONAL ( DX Grupo A)
</t>
    </r>
    <r>
      <rPr>
        <b/>
        <sz val="11"/>
        <color theme="1"/>
        <rFont val="Calibri"/>
        <family val="2"/>
        <scheme val="minor"/>
      </rPr>
      <t>ADICIONAL</t>
    </r>
    <r>
      <rPr>
        <sz val="11"/>
        <color theme="1"/>
        <rFont val="Calibri"/>
        <family val="2"/>
        <scheme val="minor"/>
      </rPr>
      <t xml:space="preserve">
</t>
    </r>
    <r>
      <rPr>
        <b/>
        <sz val="11"/>
        <color theme="1"/>
        <rFont val="Calibri"/>
        <family val="2"/>
        <scheme val="minor"/>
      </rPr>
      <t>* 90471 -</t>
    </r>
    <r>
      <rPr>
        <sz val="11"/>
        <color theme="1"/>
        <rFont val="Calibri"/>
        <family val="2"/>
        <scheme val="minor"/>
      </rPr>
      <t xml:space="preserve">  Inmunización
</t>
    </r>
    <r>
      <rPr>
        <b/>
        <sz val="11"/>
        <color theme="1"/>
        <rFont val="Calibri"/>
        <family val="2"/>
        <scheme val="minor"/>
      </rPr>
      <t>* 36416 -</t>
    </r>
    <r>
      <rPr>
        <sz val="11"/>
        <color theme="1"/>
        <rFont val="Calibri"/>
        <family val="2"/>
        <scheme val="minor"/>
      </rPr>
      <t xml:space="preserve"> COLECCIÓN DE SANGRE CAPILAR (ejemplo dedo,talon u oreja) (a partir de I-4)               
</t>
    </r>
    <r>
      <rPr>
        <b/>
        <sz val="11"/>
        <color theme="1"/>
        <rFont val="Calibri"/>
        <family val="2"/>
        <scheme val="minor"/>
      </rPr>
      <t>* 85018-</t>
    </r>
    <r>
      <rPr>
        <sz val="11"/>
        <color theme="1"/>
        <rFont val="Calibri"/>
        <family val="2"/>
        <scheme val="minor"/>
      </rPr>
      <t xml:space="preserve"> DOSAJE DE HEMOGLOBINA (VALOR AJUSTADO) (SI EL VALOR DE HEMOGLOBINA ESTA POR DEBAJO DE LOS RANGOS NORMALES DEBERA SER REGISTRADO EL DIAGNOSTICO DE ANEMIA)
</t>
    </r>
  </si>
  <si>
    <r>
      <rPr>
        <b/>
        <sz val="11"/>
        <color theme="1"/>
        <rFont val="Calibri"/>
        <family val="2"/>
        <scheme val="minor"/>
      </rPr>
      <t xml:space="preserve">OBLIGATORIO:
* Z594 - </t>
    </r>
    <r>
      <rPr>
        <sz val="11"/>
        <color theme="1"/>
        <rFont val="Calibri"/>
        <family val="2"/>
        <scheme val="minor"/>
      </rPr>
      <t xml:space="preserve">Problemas relacionados con la falta  de alimentos adecuados
</t>
    </r>
    <r>
      <rPr>
        <b/>
        <sz val="11"/>
        <color theme="1"/>
        <rFont val="Calibri"/>
        <family val="2"/>
        <scheme val="minor"/>
      </rPr>
      <t>* E660 -</t>
    </r>
    <r>
      <rPr>
        <sz val="11"/>
        <color theme="1"/>
        <rFont val="Calibri"/>
        <family val="2"/>
        <scheme val="minor"/>
      </rPr>
      <t xml:space="preserve"> 0besidad debida a exceso de calorias
</t>
    </r>
    <r>
      <rPr>
        <b/>
        <sz val="11"/>
        <color theme="1"/>
        <rFont val="Calibri"/>
        <family val="2"/>
        <scheme val="minor"/>
      </rPr>
      <t xml:space="preserve">* E669 </t>
    </r>
    <r>
      <rPr>
        <sz val="11"/>
        <color theme="1"/>
        <rFont val="Calibri"/>
        <family val="2"/>
        <scheme val="minor"/>
      </rPr>
      <t xml:space="preserve">- Obesidad, no especificada
</t>
    </r>
    <r>
      <rPr>
        <b/>
        <sz val="11"/>
        <color theme="1"/>
        <rFont val="Calibri"/>
        <family val="2"/>
        <scheme val="minor"/>
      </rPr>
      <t xml:space="preserve">
OPCIONAL:</t>
    </r>
    <r>
      <rPr>
        <sz val="11"/>
        <color theme="1"/>
        <rFont val="Calibri"/>
        <family val="2"/>
        <scheme val="minor"/>
      </rPr>
      <t xml:space="preserve">
</t>
    </r>
    <r>
      <rPr>
        <b/>
        <sz val="11"/>
        <color theme="1"/>
        <rFont val="Calibri"/>
        <family val="2"/>
        <scheme val="minor"/>
      </rPr>
      <t>* E45X -</t>
    </r>
    <r>
      <rPr>
        <sz val="11"/>
        <color theme="1"/>
        <rFont val="Calibri"/>
        <family val="2"/>
        <scheme val="minor"/>
      </rPr>
      <t xml:space="preserve"> Retardo del desarrollo debido a desnutricion proteicocalorica
</t>
    </r>
    <r>
      <rPr>
        <b/>
        <sz val="11"/>
        <color theme="1"/>
        <rFont val="Calibri"/>
        <family val="2"/>
        <scheme val="minor"/>
      </rPr>
      <t>ADICIONAL:</t>
    </r>
    <r>
      <rPr>
        <sz val="11"/>
        <color theme="1"/>
        <rFont val="Calibri"/>
        <family val="2"/>
        <scheme val="minor"/>
      </rPr>
      <t xml:space="preserve">
</t>
    </r>
    <r>
      <rPr>
        <b/>
        <sz val="11"/>
        <color theme="1"/>
        <rFont val="Calibri"/>
        <family val="2"/>
        <scheme val="minor"/>
      </rPr>
      <t>* Z918 -</t>
    </r>
    <r>
      <rPr>
        <sz val="11"/>
        <color theme="1"/>
        <rFont val="Calibri"/>
        <family val="2"/>
        <scheme val="minor"/>
      </rPr>
      <t xml:space="preserve"> Historia personal de otros factores de riesgo, no clasificados en otra parte
</t>
    </r>
    <r>
      <rPr>
        <b/>
        <sz val="11"/>
        <color theme="1"/>
        <rFont val="Calibri"/>
        <family val="2"/>
        <scheme val="minor"/>
      </rPr>
      <t>* D538, D539, D649, D500, D508, D509:</t>
    </r>
    <r>
      <rPr>
        <sz val="11"/>
        <color theme="1"/>
        <rFont val="Calibri"/>
        <family val="2"/>
        <scheme val="minor"/>
      </rPr>
      <t xml:space="preserve"> Anemia </t>
    </r>
  </si>
  <si>
    <r>
      <rPr>
        <b/>
        <sz val="11"/>
        <color theme="1"/>
        <rFont val="Calibri"/>
        <family val="2"/>
        <scheme val="minor"/>
      </rPr>
      <t>OBLIGATORIO</t>
    </r>
    <r>
      <rPr>
        <sz val="11"/>
        <color theme="1"/>
        <rFont val="Calibri"/>
        <family val="2"/>
        <scheme val="minor"/>
      </rPr>
      <t xml:space="preserve">
* 99252 - Consejeria Nutricional en niños con riesgo 
</t>
    </r>
    <r>
      <rPr>
        <b/>
        <sz val="11"/>
        <color theme="1"/>
        <rFont val="Calibri"/>
        <family val="2"/>
        <scheme val="minor"/>
      </rPr>
      <t>OPCIONAL:</t>
    </r>
    <r>
      <rPr>
        <sz val="11"/>
        <color theme="1"/>
        <rFont val="Calibri"/>
        <family val="2"/>
        <scheme val="minor"/>
      </rPr>
      <t xml:space="preserve">
* 85018 - Dosaje de Hemoglobina Ó
</t>
    </r>
  </si>
  <si>
    <r>
      <rPr>
        <b/>
        <sz val="11"/>
        <color theme="1"/>
        <rFont val="Calibri"/>
        <family val="2"/>
        <scheme val="minor"/>
      </rPr>
      <t xml:space="preserve">OBLIGATORIO: </t>
    </r>
    <r>
      <rPr>
        <sz val="11"/>
        <color theme="1"/>
        <rFont val="Calibri"/>
        <family val="2"/>
        <scheme val="minor"/>
      </rPr>
      <t xml:space="preserve">
RC05:
* 003 - Peso
* 004 - Talla 
</t>
    </r>
  </si>
  <si>
    <r>
      <rPr>
        <b/>
        <sz val="11"/>
        <color theme="1"/>
        <rFont val="Calibri"/>
        <family val="2"/>
        <scheme val="minor"/>
      </rPr>
      <t xml:space="preserve">OBLIGATORIO:
* Z001 - </t>
    </r>
    <r>
      <rPr>
        <sz val="11"/>
        <color theme="1"/>
        <rFont val="Calibri"/>
        <family val="2"/>
        <scheme val="minor"/>
      </rPr>
      <t xml:space="preserve">Control de Salud de rutina del niño (Niño Normal)    
</t>
    </r>
    <r>
      <rPr>
        <b/>
        <sz val="11"/>
        <color theme="1"/>
        <rFont val="Calibri"/>
        <family val="2"/>
        <scheme val="minor"/>
      </rPr>
      <t xml:space="preserve">OPCIONAL SEGÚN CORRESPONDA A LOS SERVICOS PREVENTIVOS :
* E45X - </t>
    </r>
    <r>
      <rPr>
        <sz val="11"/>
        <color theme="1"/>
        <rFont val="Calibri"/>
        <family val="2"/>
        <scheme val="minor"/>
      </rPr>
      <t xml:space="preserve">Desnutrición Proteico calórica Severa, No Especificada (Delgadez severa) Ó
</t>
    </r>
    <r>
      <rPr>
        <b/>
        <sz val="11"/>
        <color theme="1"/>
        <rFont val="Calibri"/>
        <family val="2"/>
        <scheme val="minor"/>
      </rPr>
      <t>* E440 -</t>
    </r>
    <r>
      <rPr>
        <sz val="11"/>
        <color theme="1"/>
        <rFont val="Calibri"/>
        <family val="2"/>
        <scheme val="minor"/>
      </rPr>
      <t xml:space="preserve"> Desnutrición Proteico calórica Moderada (Delgadez)
* </t>
    </r>
    <r>
      <rPr>
        <b/>
        <sz val="11"/>
        <color theme="1"/>
        <rFont val="Calibri"/>
        <family val="2"/>
        <scheme val="minor"/>
      </rPr>
      <t>Z918</t>
    </r>
    <r>
      <rPr>
        <sz val="11"/>
        <color theme="1"/>
        <rFont val="Calibri"/>
        <family val="2"/>
        <scheme val="minor"/>
      </rPr>
      <t xml:space="preserve"> - historia personal.
</t>
    </r>
  </si>
  <si>
    <r>
      <t xml:space="preserve">OBLIGATORIO:
</t>
    </r>
    <r>
      <rPr>
        <b/>
        <sz val="11"/>
        <color theme="1"/>
        <rFont val="Calibri"/>
        <family val="2"/>
        <scheme val="minor"/>
      </rPr>
      <t>* Z001</t>
    </r>
    <r>
      <rPr>
        <sz val="11"/>
        <color theme="1"/>
        <rFont val="Calibri"/>
        <family val="2"/>
        <scheme val="minor"/>
      </rPr>
      <t xml:space="preserve"> - Control de Salud de rutina del niño (Niño Normal)   </t>
    </r>
  </si>
  <si>
    <r>
      <rPr>
        <b/>
        <sz val="11"/>
        <color theme="1"/>
        <rFont val="Calibri"/>
        <family val="2"/>
        <scheme val="minor"/>
      </rPr>
      <t>OBLIGATORIO</t>
    </r>
    <r>
      <rPr>
        <sz val="11"/>
        <color theme="1"/>
        <rFont val="Calibri"/>
        <family val="2"/>
        <scheme val="minor"/>
      </rPr>
      <t xml:space="preserve">
* 99401.05  - Consejeria en atencion y estimulacion temprana del desarrollo.
</t>
    </r>
  </si>
  <si>
    <r>
      <rPr>
        <b/>
        <sz val="11"/>
        <color theme="1"/>
        <rFont val="Calibri"/>
        <family val="2"/>
        <scheme val="minor"/>
      </rPr>
      <t xml:space="preserve">OBLIGATORIO: </t>
    </r>
    <r>
      <rPr>
        <sz val="11"/>
        <color theme="1"/>
        <rFont val="Calibri"/>
        <family val="2"/>
        <scheme val="minor"/>
      </rPr>
      <t xml:space="preserve">
* 99402 ó 99402.03 ó 99402.04 - Consejeria PPFF
</t>
    </r>
    <r>
      <rPr>
        <b/>
        <sz val="11"/>
        <color theme="1"/>
        <rFont val="Calibri"/>
        <family val="2"/>
        <scheme val="minor"/>
      </rPr>
      <t>OPCIONAL:</t>
    </r>
    <r>
      <rPr>
        <sz val="11"/>
        <color theme="1"/>
        <rFont val="Calibri"/>
        <family val="2"/>
        <scheme val="minor"/>
      </rPr>
      <t xml:space="preserve">
* 99208 - Atenciòn en  Planificaciòn  Familiar (SOLO CUANDO SE  ENTREGA DE METODO)   
* 58300 - Inserción de Dispositivo Intrauterina (sólo para Dx.Z308) 
* 58301 - Remoción de Dispositivo Intrauterina (sólo para Z305), 
* 90782- Inyección profiláctica, diagnóstica o terapéutica; subcutánea o intramuscular
* 11975 - Inserción de cápsulas anticonceptivas implantables.                                                                                          
* 11977- Retiro con inserción de cápsulas contraceptivas implantables</t>
    </r>
  </si>
  <si>
    <t xml:space="preserve">* Alta - SIEMPRE
</t>
  </si>
  <si>
    <t xml:space="preserve">OBLIGATORIO: 
RC14: EN CASO DE GESTANTE
* 005 - Edad Gestacional
</t>
  </si>
  <si>
    <r>
      <rPr>
        <b/>
        <sz val="11"/>
        <color theme="1"/>
        <rFont val="Calibri"/>
        <family val="2"/>
        <scheme val="minor"/>
      </rPr>
      <t>OBLIGATORIO</t>
    </r>
    <r>
      <rPr>
        <sz val="11"/>
        <color theme="1"/>
        <rFont val="Calibri"/>
        <family val="2"/>
        <scheme val="minor"/>
      </rPr>
      <t xml:space="preserve">
RC39: 
* D1110 - Profilaxis dental
* D1206 - Aplicación flúor barniz - APLICACIÓN MENOR A LOS 12 AÑOS 
* D1204, D1208 - Aplicación tópica de flúor gel - APLICACIÓN MAYOR A LOS DE 12 AÑOS
* D1351 - Aplicación de sellante por pieza dentaria 
*E1311 - Destartraje dental </t>
    </r>
  </si>
  <si>
    <t>* Aplicación de medicamento o tratamiento según el diagnostico establecido.</t>
  </si>
  <si>
    <r>
      <rPr>
        <b/>
        <sz val="11"/>
        <color theme="1"/>
        <rFont val="Calibri"/>
        <family val="2"/>
        <scheme val="minor"/>
      </rPr>
      <t>OPCIONAL:</t>
    </r>
    <r>
      <rPr>
        <sz val="11"/>
        <color theme="1"/>
        <rFont val="Calibri"/>
        <family val="2"/>
        <scheme val="minor"/>
      </rPr>
      <t xml:space="preserve">
* D2391 - Tratamientos restauradores amalgama, silicato, otros materiales
</t>
    </r>
  </si>
  <si>
    <r>
      <rPr>
        <b/>
        <sz val="11"/>
        <color theme="1"/>
        <rFont val="Calibri"/>
        <family val="2"/>
        <scheme val="minor"/>
      </rPr>
      <t>OPCIONAL:</t>
    </r>
    <r>
      <rPr>
        <sz val="11"/>
        <color theme="1"/>
        <rFont val="Calibri"/>
        <family val="2"/>
        <scheme val="minor"/>
      </rPr>
      <t xml:space="preserve">
* E2398 - D2390 : Restauración una superficie ionómero de vidrio en piezas dentales deciduas
* E2398 - D2392 : Restauración una superficie ionómero de vidrio en piezas dentales permanentes
* D2330 - 41720: Restauración fotocurable de una superficie con resina en piezas dentales posterior permanente
* D2385 - Restauración de diente con resina, una superficie, posterior, permanente.
* D2391 - Tratamientos restauradores amalgama, silicato, otros materiales
</t>
    </r>
  </si>
  <si>
    <t xml:space="preserve">
 D7176:  Extracción Dental Simple </t>
  </si>
  <si>
    <t xml:space="preserve">INSUMOS:
* 22963 - AGUJA CARPULE DENTAL DESCARTABLE Nª 27 G X 1 5/8"
* 19029 - GUANTE QUIRURGICO DESCARTABLE ESTERIL Nº 7 (PAR)
MEDICAMENTOS
 * 4394 - LIDOCAINA </t>
  </si>
  <si>
    <r>
      <rPr>
        <b/>
        <sz val="11"/>
        <color theme="1"/>
        <rFont val="Calibri"/>
        <family val="2"/>
        <scheme val="minor"/>
      </rPr>
      <t>OPCIONAL:</t>
    </r>
    <r>
      <rPr>
        <sz val="11"/>
        <color theme="1"/>
        <rFont val="Calibri"/>
        <family val="2"/>
        <scheme val="minor"/>
      </rPr>
      <t xml:space="preserve">
* 99344 - Consulta a domicilio para la evaluación y manejo de un paciente nuevo, de elevada severidad (VISITA FAMILIAR INTEGRAL)
* 99342 - VISITA MÉDICA DOMICILIARIA (Solo por Médico)
* 99349 - Consulta a domicilio para manejo y evaluacion de un paciente continuador de grave a moderado.
* 99509 - Visita Domicilaria para la ayuda con actividades de la vida diaria y del cuidado personal.
* (Niños con enfermedades prevalentes de la Infancia)
* 90471 - Inmunización O ADMISNITRACION DE INMUNIZACIONES
</t>
    </r>
  </si>
  <si>
    <r>
      <t xml:space="preserve">LOS DIAGNOSTICOS REGISTRADOS SIEMPRE TIENEN QUE SER ; </t>
    </r>
    <r>
      <rPr>
        <b/>
        <sz val="11"/>
        <color theme="1"/>
        <rFont val="Calibri"/>
        <family val="2"/>
        <scheme val="minor"/>
      </rPr>
      <t>(REPETITIVOS)</t>
    </r>
  </si>
  <si>
    <r>
      <t xml:space="preserve"> * Intramural
ATENCION 
</t>
    </r>
    <r>
      <rPr>
        <b/>
        <sz val="11"/>
        <color theme="1"/>
        <rFont val="Calibri"/>
        <family val="2"/>
        <scheme val="minor"/>
      </rPr>
      <t>* Emergencia</t>
    </r>
    <r>
      <rPr>
        <sz val="11"/>
        <color theme="1"/>
        <rFont val="Calibri"/>
        <family val="2"/>
        <scheme val="minor"/>
      </rPr>
      <t xml:space="preserve">
</t>
    </r>
  </si>
  <si>
    <r>
      <rPr>
        <b/>
        <sz val="11"/>
        <color theme="1"/>
        <rFont val="Calibri"/>
        <family val="2"/>
        <scheme val="minor"/>
      </rPr>
      <t>OPCIONALES:</t>
    </r>
    <r>
      <rPr>
        <sz val="11"/>
        <color theme="1"/>
        <rFont val="Calibri"/>
        <family val="2"/>
        <scheme val="minor"/>
      </rPr>
      <t xml:space="preserve">
* </t>
    </r>
    <r>
      <rPr>
        <b/>
        <sz val="11"/>
        <color theme="1"/>
        <rFont val="Calibri"/>
        <family val="2"/>
        <scheme val="minor"/>
      </rPr>
      <t>Z017  -</t>
    </r>
    <r>
      <rPr>
        <sz val="11"/>
        <color theme="1"/>
        <rFont val="Calibri"/>
        <family val="2"/>
        <scheme val="minor"/>
      </rPr>
      <t xml:space="preserve"> Examen de Laboratorio.
</t>
    </r>
  </si>
  <si>
    <r>
      <rPr>
        <b/>
        <sz val="11"/>
        <color theme="1"/>
        <rFont val="Calibri"/>
        <family val="2"/>
        <scheme val="minor"/>
      </rPr>
      <t>OPCIONAL:</t>
    </r>
    <r>
      <rPr>
        <sz val="11"/>
        <color theme="1"/>
        <rFont val="Calibri"/>
        <family val="2"/>
        <scheme val="minor"/>
      </rPr>
      <t xml:space="preserve">
* 99344 - Consulta a domicilio para la evaluación y manejo de un paciente nuevo, de elevada severidad (VISITA FAMILIAR INTEGRAL)
* 99342 - VISITA MÉDICA DOMICILIARIA (Solo por Médico)
</t>
    </r>
    <r>
      <rPr>
        <b/>
        <sz val="11"/>
        <color theme="1"/>
        <rFont val="Calibri"/>
        <family val="2"/>
        <scheme val="minor"/>
      </rPr>
      <t xml:space="preserve">Razon de la Visita, Describir en OBSERVACION: ejm.
</t>
    </r>
    <r>
      <rPr>
        <sz val="11"/>
        <color theme="1"/>
        <rFont val="Calibri"/>
        <family val="2"/>
        <scheme val="minor"/>
      </rPr>
      <t xml:space="preserve"> ANEMIA
PROBLEMAS RELACIONADOS CON LA DIETA Y HABITOS ó ALIMENTICIOS.
CONTROL DEL RECIEN NACIDO
ANEMIA QUE COMPLICA EL EMBARAZO, EL PARTO Y EL PUERPERIO
OTROS DE ACUERDO A LA VISITA 
</t>
    </r>
  </si>
  <si>
    <r>
      <t xml:space="preserve">* Alta 
</t>
    </r>
    <r>
      <rPr>
        <b/>
        <sz val="11"/>
        <color theme="1"/>
        <rFont val="Calibri"/>
        <family val="2"/>
        <scheme val="minor"/>
      </rPr>
      <t>SIEMPRE TIENE QUE SER ALTA
POR QUE LE CORRESPONDE UN SOLO CRED</t>
    </r>
  </si>
  <si>
    <r>
      <t xml:space="preserve">* Alta
</t>
    </r>
    <r>
      <rPr>
        <b/>
        <sz val="11"/>
        <color theme="1"/>
        <rFont val="Calibri"/>
        <family val="2"/>
        <scheme val="minor"/>
      </rPr>
      <t>SIEMPRE ES ALTA YA QUE SOLO LE CORRESPONDE UN SOLO CRED</t>
    </r>
  </si>
  <si>
    <r>
      <t xml:space="preserve">* Alta   
</t>
    </r>
    <r>
      <rPr>
        <b/>
        <sz val="11"/>
        <color theme="1"/>
        <rFont val="Calibri"/>
        <family val="2"/>
        <scheme val="minor"/>
      </rPr>
      <t xml:space="preserve">SIEMPRE ES ALTA YA QUE SOLO LE CORRESPONDE UN SOLO CRED          </t>
    </r>
    <r>
      <rPr>
        <sz val="11"/>
        <color theme="1"/>
        <rFont val="Calibri"/>
        <family val="2"/>
        <scheme val="minor"/>
      </rPr>
      <t xml:space="preserve">                                                                                                                                                                                                                                                                                                                                                                                                                                                                                                                                                                                                                                                                                                                                                                                                                                                                                                                                                                                                                                                                                                                                                                                                                                                                                                                                                                                                                                                                                                                                                                                                                                                                                                                                                                                                                                                                                                                                                                                                                                                                                                                                                                                                                   
</t>
    </r>
  </si>
  <si>
    <r>
      <rPr>
        <b/>
        <sz val="11"/>
        <color theme="1"/>
        <rFont val="Calibri"/>
        <family val="2"/>
        <scheme val="minor"/>
      </rPr>
      <t>OBLIGATORIO</t>
    </r>
    <r>
      <rPr>
        <sz val="11"/>
        <color theme="1"/>
        <rFont val="Calibri"/>
        <family val="2"/>
        <scheme val="minor"/>
      </rPr>
      <t xml:space="preserve">
*03 - PESO
*04 - TALLA
</t>
    </r>
    <r>
      <rPr>
        <b/>
        <sz val="11"/>
        <color theme="1"/>
        <rFont val="Calibri"/>
        <family val="2"/>
        <scheme val="minor"/>
      </rPr>
      <t xml:space="preserve">
CONDICIONAL EN CASO DE SER GESTANTE
</t>
    </r>
    <r>
      <rPr>
        <sz val="11"/>
        <color theme="1"/>
        <rFont val="Calibri"/>
        <family val="2"/>
        <scheme val="minor"/>
      </rPr>
      <t xml:space="preserve">
*05 - EDAD GESTACIONAL</t>
    </r>
  </si>
  <si>
    <r>
      <rPr>
        <b/>
        <sz val="11"/>
        <color theme="1"/>
        <rFont val="Calibri"/>
        <family val="2"/>
        <scheme val="minor"/>
      </rPr>
      <t>NIÑOS</t>
    </r>
    <r>
      <rPr>
        <sz val="11"/>
        <color theme="1"/>
        <rFont val="Calibri"/>
        <family val="2"/>
        <scheme val="minor"/>
      </rPr>
      <t xml:space="preserve">
15779 - Cepillo dental para niños 
21903 - Pasta dental para niños
</t>
    </r>
    <r>
      <rPr>
        <b/>
        <sz val="11"/>
        <color theme="1"/>
        <rFont val="Calibri"/>
        <family val="2"/>
        <scheme val="minor"/>
      </rPr>
      <t>ADULTOS</t>
    </r>
    <r>
      <rPr>
        <sz val="11"/>
        <color theme="1"/>
        <rFont val="Calibri"/>
        <family val="2"/>
        <scheme val="minor"/>
      </rPr>
      <t xml:space="preserve">
15778 - Cepillo dental para adulto
26595 - Pasta dental para adulto</t>
    </r>
  </si>
  <si>
    <r>
      <rPr>
        <b/>
        <sz val="11"/>
        <color theme="1"/>
        <rFont val="Calibri"/>
        <family val="2"/>
        <scheme val="minor"/>
      </rPr>
      <t>OBLIGATORIO:</t>
    </r>
    <r>
      <rPr>
        <sz val="11"/>
        <color theme="1"/>
        <rFont val="Calibri"/>
        <family val="2"/>
        <scheme val="minor"/>
      </rPr>
      <t xml:space="preserve">
* 99403.01 - Consejeria nutricional 
</t>
    </r>
  </si>
  <si>
    <r>
      <t xml:space="preserve">* Alta - </t>
    </r>
    <r>
      <rPr>
        <b/>
        <sz val="11"/>
        <color theme="1"/>
        <rFont val="Calibri"/>
        <family val="2"/>
        <scheme val="minor"/>
      </rPr>
      <t>Cuando es el  2do y ultimo control</t>
    </r>
    <r>
      <rPr>
        <sz val="11"/>
        <color theme="1"/>
        <rFont val="Calibri"/>
        <family val="2"/>
        <scheme val="minor"/>
      </rPr>
      <t xml:space="preserve">
* Citado - </t>
    </r>
    <r>
      <rPr>
        <b/>
        <sz val="11"/>
        <color theme="1"/>
        <rFont val="Calibri"/>
        <family val="2"/>
        <scheme val="minor"/>
      </rPr>
      <t xml:space="preserve"> Primer control</t>
    </r>
  </si>
  <si>
    <t xml:space="preserve">OBLIGATORIO: 
* 003 - Peso 
* 004 - Talla
 </t>
  </si>
  <si>
    <r>
      <rPr>
        <b/>
        <sz val="11"/>
        <color theme="1"/>
        <rFont val="Calibri"/>
        <family val="2"/>
        <scheme val="minor"/>
      </rPr>
      <t>OPCIONALES:</t>
    </r>
    <r>
      <rPr>
        <sz val="11"/>
        <color theme="1"/>
        <rFont val="Calibri"/>
        <family val="2"/>
        <scheme val="minor"/>
      </rPr>
      <t xml:space="preserve">
* 81025 - Prueba de embarazo en orina, por el método de comparación visual de color (Colocar positivo y/o negativo)                      
                              ó
</t>
    </r>
    <r>
      <rPr>
        <b/>
        <sz val="11"/>
        <color theme="1"/>
        <rFont val="Calibri"/>
        <family val="2"/>
        <scheme val="minor"/>
      </rPr>
      <t xml:space="preserve">EN CASO DE SER ATENDIDA POR EL PROFESIONAL DE LABORATORIO </t>
    </r>
    <r>
      <rPr>
        <sz val="11"/>
        <color theme="1"/>
        <rFont val="Calibri"/>
        <family val="2"/>
        <scheme val="minor"/>
      </rPr>
      <t xml:space="preserve">
* 84703 - GONADOTROPINA CORIÓNICA CUALITATIVA (Colocar positivo y/o negativo)     
 </t>
    </r>
  </si>
  <si>
    <r>
      <t xml:space="preserve">* Alta:
 </t>
    </r>
    <r>
      <rPr>
        <b/>
        <sz val="11"/>
        <color theme="1"/>
        <rFont val="Calibri"/>
        <family val="2"/>
        <scheme val="minor"/>
      </rPr>
      <t>en sesion 3</t>
    </r>
    <r>
      <rPr>
        <sz val="11"/>
        <color theme="1"/>
        <rFont val="Calibri"/>
        <family val="2"/>
        <scheme val="minor"/>
      </rPr>
      <t xml:space="preserve">
* Citado:
 </t>
    </r>
    <r>
      <rPr>
        <b/>
        <sz val="11"/>
        <color theme="1"/>
        <rFont val="Calibri"/>
        <family val="2"/>
        <scheme val="minor"/>
      </rPr>
      <t xml:space="preserve">solo en sesion 1 y 2 </t>
    </r>
  </si>
  <si>
    <r>
      <rPr>
        <b/>
        <sz val="11"/>
        <color theme="1"/>
        <rFont val="Calibri"/>
        <family val="2"/>
        <scheme val="minor"/>
      </rPr>
      <t>OBLIGATORIO EN CASO DE TENER MAS DE 2 DX</t>
    </r>
    <r>
      <rPr>
        <sz val="11"/>
        <color theme="1"/>
        <rFont val="Calibri"/>
        <family val="2"/>
        <scheme val="minor"/>
      </rPr>
      <t xml:space="preserve">
RC05
* 003 - Peso 
* 004 - Talla 
* 301 - P.A(mmHg)
</t>
    </r>
  </si>
  <si>
    <r>
      <rPr>
        <b/>
        <sz val="11"/>
        <color theme="1"/>
        <rFont val="Calibri"/>
        <family val="2"/>
        <scheme val="minor"/>
      </rPr>
      <t>OBLIGATORIO:</t>
    </r>
    <r>
      <rPr>
        <sz val="11"/>
        <color theme="1"/>
        <rFont val="Calibri"/>
        <family val="2"/>
        <scheme val="minor"/>
      </rPr>
      <t xml:space="preserve">
* 92015 - Refracción y medición de la visión  </t>
    </r>
    <r>
      <rPr>
        <b/>
        <sz val="11"/>
        <color theme="1"/>
        <rFont val="Calibri"/>
        <family val="2"/>
        <scheme val="minor"/>
      </rPr>
      <t>MENORES DE 5 AÑOS</t>
    </r>
    <r>
      <rPr>
        <sz val="11"/>
        <color theme="1"/>
        <rFont val="Calibri"/>
        <family val="2"/>
        <scheme val="minor"/>
      </rPr>
      <t xml:space="preserve">
* 99173 - Determinación de Agudeza visual Bilatetral</t>
    </r>
  </si>
  <si>
    <r>
      <t xml:space="preserve">OBLIGATORIO: 
* 005 - Edad Gestacional: </t>
    </r>
    <r>
      <rPr>
        <b/>
        <sz val="11"/>
        <color theme="1"/>
        <rFont val="Calibri"/>
        <family val="2"/>
        <scheme val="minor"/>
      </rPr>
      <t>EN CASO DE SER GESTANTE</t>
    </r>
    <r>
      <rPr>
        <sz val="11"/>
        <color theme="1"/>
        <rFont val="Calibri"/>
        <family val="2"/>
        <scheme val="minor"/>
      </rPr>
      <t xml:space="preserve">
* 03   - PESO 
* 04   - TALLA
</t>
    </r>
  </si>
  <si>
    <r>
      <t xml:space="preserve">RC14:
* 005 - Edad Gestacional: 
</t>
    </r>
    <r>
      <rPr>
        <b/>
        <sz val="11"/>
        <color theme="1"/>
        <rFont val="Calibri"/>
        <family val="2"/>
        <scheme val="minor"/>
      </rPr>
      <t>EN CASO DE SER GESTANTE</t>
    </r>
    <r>
      <rPr>
        <sz val="11"/>
        <color theme="1"/>
        <rFont val="Calibri"/>
        <family val="2"/>
        <scheme val="minor"/>
      </rPr>
      <t xml:space="preserve">
* 003 - PESO
* 004 - TALLA
</t>
    </r>
  </si>
  <si>
    <r>
      <t>OBLIGATORIO:
* 407 - Tamizaje de Salud Mental
CONDICIONAL:
* 005 - Edad Gestacional:</t>
    </r>
    <r>
      <rPr>
        <b/>
        <sz val="11"/>
        <color theme="1"/>
        <rFont val="Calibri"/>
        <family val="2"/>
        <scheme val="minor"/>
      </rPr>
      <t xml:space="preserve"> EN CASO DE SER GESTANTE</t>
    </r>
  </si>
  <si>
    <t xml:space="preserve">OPCIONAL:
RC05:
* 003 - Peso 
* 004 - Talla 
* 301 - P.A(mmHg) </t>
  </si>
  <si>
    <r>
      <t xml:space="preserve">RC14:
* 005 - Edad Gestacional: </t>
    </r>
    <r>
      <rPr>
        <b/>
        <sz val="11"/>
        <color theme="1"/>
        <rFont val="Calibri"/>
        <family val="2"/>
        <scheme val="minor"/>
      </rPr>
      <t xml:space="preserve">EN CASO DE SER GESTANTE </t>
    </r>
    <r>
      <rPr>
        <sz val="11"/>
        <color theme="1"/>
        <rFont val="Calibri"/>
        <family val="2"/>
        <scheme val="minor"/>
      </rPr>
      <t xml:space="preserve">
OPCIONAL:
RC05:
* 003 - Peso 
* 004 - Talla  
* 301 - P.A(mmHg)</t>
    </r>
  </si>
  <si>
    <r>
      <t>OBLIGATORIO:
RC14:
* 005 - Edad Gestacional :</t>
    </r>
    <r>
      <rPr>
        <b/>
        <sz val="11"/>
        <color theme="1"/>
        <rFont val="Calibri"/>
        <family val="2"/>
        <scheme val="minor"/>
      </rPr>
      <t xml:space="preserve"> EN CASO DE SER GESTANTE</t>
    </r>
    <r>
      <rPr>
        <sz val="11"/>
        <color theme="1"/>
        <rFont val="Calibri"/>
        <family val="2"/>
        <scheme val="minor"/>
      </rPr>
      <t xml:space="preserve">
* 301 - P.A(mmHg)
* 003 - Peso 
* 004 - Talla 
</t>
    </r>
  </si>
  <si>
    <r>
      <rPr>
        <b/>
        <sz val="11"/>
        <color theme="1"/>
        <rFont val="Calibri"/>
        <family val="2"/>
        <scheme val="minor"/>
      </rPr>
      <t>OPCIONALES:</t>
    </r>
    <r>
      <rPr>
        <sz val="11"/>
        <color theme="1"/>
        <rFont val="Calibri"/>
        <family val="2"/>
        <scheme val="minor"/>
      </rPr>
      <t xml:space="preserve">
* Z018 - Otros examenes especiales especificados),
 * B159 - ( hepatitis A),
* J00X  - (rinofaringitis), 
* A09X - (diarrea acuosa),  
</t>
    </r>
    <r>
      <rPr>
        <b/>
        <sz val="11"/>
        <color theme="1"/>
        <rFont val="Calibri"/>
        <family val="2"/>
        <scheme val="minor"/>
      </rPr>
      <t>* u otros tipos de diagnosticos SEGÚN EVALUACION DEL PROFESIONAL QUE ATIENDE</t>
    </r>
  </si>
  <si>
    <r>
      <t xml:space="preserve">RC14:
* 005 - Edad Gestacional: </t>
    </r>
    <r>
      <rPr>
        <b/>
        <sz val="11"/>
        <color theme="1"/>
        <rFont val="Calibri"/>
        <family val="2"/>
        <scheme val="minor"/>
      </rPr>
      <t xml:space="preserve">EN CASO DE SER GESTANTE </t>
    </r>
  </si>
  <si>
    <r>
      <t xml:space="preserve">1er. Dx:
</t>
    </r>
    <r>
      <rPr>
        <b/>
        <sz val="12"/>
        <color theme="1"/>
        <rFont val="Calibri"/>
        <family val="2"/>
        <scheme val="minor"/>
      </rPr>
      <t xml:space="preserve">* Z742 - </t>
    </r>
    <r>
      <rPr>
        <sz val="12"/>
        <color theme="1"/>
        <rFont val="Calibri"/>
        <family val="2"/>
        <scheme val="minor"/>
      </rPr>
      <t xml:space="preserve">Problemas  relacionados con la necesidad  de asistencia domiciliaria y que ningun otro miembro del hogar puede proporcionar.         
2do Dx. Razon de la Visita: ejm.
</t>
    </r>
    <r>
      <rPr>
        <b/>
        <sz val="12"/>
        <color theme="1"/>
        <rFont val="Calibri"/>
        <family val="2"/>
        <scheme val="minor"/>
      </rPr>
      <t>* D509 -</t>
    </r>
    <r>
      <rPr>
        <sz val="12"/>
        <color theme="1"/>
        <rFont val="Calibri"/>
        <family val="2"/>
        <scheme val="minor"/>
      </rPr>
      <t xml:space="preserve"> ANEMIA
</t>
    </r>
    <r>
      <rPr>
        <b/>
        <sz val="12"/>
        <color theme="1"/>
        <rFont val="Calibri"/>
        <family val="2"/>
        <scheme val="minor"/>
      </rPr>
      <t>* Z918 -</t>
    </r>
    <r>
      <rPr>
        <sz val="12"/>
        <color theme="1"/>
        <rFont val="Calibri"/>
        <family val="2"/>
        <scheme val="minor"/>
      </rPr>
      <t xml:space="preserve"> RIESGO NUTRICIONAL y/
</t>
    </r>
    <r>
      <rPr>
        <b/>
        <sz val="12"/>
        <color theme="1"/>
        <rFont val="Calibri"/>
        <family val="2"/>
        <scheme val="minor"/>
      </rPr>
      <t>* Z724 -</t>
    </r>
    <r>
      <rPr>
        <sz val="12"/>
        <color theme="1"/>
        <rFont val="Calibri"/>
        <family val="2"/>
        <scheme val="minor"/>
      </rPr>
      <t xml:space="preserve"> PROBLEMAS RELACIONADOS CON LA DIETA Y HABITOS ó ALIMENTICIOS.
</t>
    </r>
    <r>
      <rPr>
        <b/>
        <sz val="12"/>
        <color theme="1"/>
        <rFont val="Calibri"/>
        <family val="2"/>
        <scheme val="minor"/>
      </rPr>
      <t xml:space="preserve">* Z001 - </t>
    </r>
    <r>
      <rPr>
        <sz val="12"/>
        <color theme="1"/>
        <rFont val="Calibri"/>
        <family val="2"/>
        <scheme val="minor"/>
      </rPr>
      <t xml:space="preserve">CONTROL DEL RECIEN NACIDO
</t>
    </r>
    <r>
      <rPr>
        <b/>
        <sz val="12"/>
        <color theme="1"/>
        <rFont val="Calibri"/>
        <family val="2"/>
        <scheme val="minor"/>
      </rPr>
      <t>* O990 -</t>
    </r>
    <r>
      <rPr>
        <sz val="12"/>
        <color theme="1"/>
        <rFont val="Calibri"/>
        <family val="2"/>
        <scheme val="minor"/>
      </rPr>
      <t xml:space="preserve"> ANEMIA QUE COMPLICA EL EMBARAZO, EL PARTO Y EL PUERPERIO
                  OTROS DE ACUERDO A LA VISITA</t>
    </r>
  </si>
  <si>
    <r>
      <t xml:space="preserve">RC14:
* 005 - Edad Gestacional: </t>
    </r>
    <r>
      <rPr>
        <b/>
        <sz val="11"/>
        <color theme="1"/>
        <rFont val="Calibri"/>
        <family val="2"/>
        <scheme val="minor"/>
      </rPr>
      <t>EN CASO DE SER GESTANTE</t>
    </r>
  </si>
  <si>
    <t xml:space="preserve">RC14:
* 005 - Edad Gestacional embarazo: EN CASO DE SER GESTANTE
* 003 - Peso 
* 004 - Talla 
* 301 - P.A(mmHg)
 </t>
  </si>
  <si>
    <r>
      <t xml:space="preserve">RC14:
* 005 - Edad Gestacional embarazo: </t>
    </r>
    <r>
      <rPr>
        <b/>
        <sz val="11"/>
        <color theme="1"/>
        <rFont val="Calibri"/>
        <family val="2"/>
        <scheme val="minor"/>
      </rPr>
      <t>EN CASO DE SER GESTANTE</t>
    </r>
    <r>
      <rPr>
        <sz val="11"/>
        <color theme="1"/>
        <rFont val="Calibri"/>
        <family val="2"/>
        <scheme val="minor"/>
      </rPr>
      <t xml:space="preserve">
 </t>
    </r>
  </si>
  <si>
    <t xml:space="preserve">                                                                                                                                                                                                                                                                                                                                                                                                                                                                                                                                                                                                                                                                                                                                                                                                                                                                                                                                                                                                                                                                                                                                                                                                                                                                                                                                                                                                                                                                                                                                                                                                                                                                                                                                                                                                                                                                                                                                                                                                                                                                                                                                                                                                                   
* Citado  </t>
  </si>
  <si>
    <r>
      <t xml:space="preserve">CONDICIONAL:
* 005 - Edad Gestacional embarazo: </t>
    </r>
    <r>
      <rPr>
        <b/>
        <sz val="11"/>
        <color theme="1"/>
        <rFont val="Calibri"/>
        <family val="2"/>
        <scheme val="minor"/>
      </rPr>
      <t>EN CASO DE SER GESTANTE</t>
    </r>
    <r>
      <rPr>
        <sz val="11"/>
        <color theme="1"/>
        <rFont val="Calibri"/>
        <family val="2"/>
        <scheme val="minor"/>
      </rPr>
      <t xml:space="preserve">
OPCIONAL:
* 003 - Peso 
* 004 - Talla 
* 301 - P.A(mmHg)
</t>
    </r>
  </si>
  <si>
    <r>
      <t>RC14:
* 005 - Edad Gestacional embarazo:</t>
    </r>
    <r>
      <rPr>
        <b/>
        <sz val="11"/>
        <color theme="1"/>
        <rFont val="Calibri"/>
        <family val="2"/>
        <scheme val="minor"/>
      </rPr>
      <t xml:space="preserve"> EN CASO DE SER GESTANTE</t>
    </r>
  </si>
  <si>
    <r>
      <rPr>
        <b/>
        <sz val="11"/>
        <color theme="1"/>
        <rFont val="Calibri"/>
        <family val="2"/>
        <scheme val="minor"/>
      </rPr>
      <t>1er. Dx:</t>
    </r>
    <r>
      <rPr>
        <sz val="11"/>
        <color theme="1"/>
        <rFont val="Calibri"/>
        <family val="2"/>
        <scheme val="minor"/>
      </rPr>
      <t xml:space="preserve">
</t>
    </r>
    <r>
      <rPr>
        <b/>
        <sz val="11"/>
        <color theme="1"/>
        <rFont val="Calibri"/>
        <family val="2"/>
        <scheme val="minor"/>
      </rPr>
      <t>* Z742</t>
    </r>
    <r>
      <rPr>
        <sz val="11"/>
        <color theme="1"/>
        <rFont val="Calibri"/>
        <family val="2"/>
        <scheme val="minor"/>
      </rPr>
      <t xml:space="preserve"> - Problemas  relacionados con la necesidad  de asistencia domiciliaria y que ningun otro miembro del hogar puede proporcionar.          ó  
</t>
    </r>
  </si>
  <si>
    <r>
      <t xml:space="preserve">* Dx: DE ACUERDO A LA EVALUACION DEL PROFESIONAL DE SALUD
</t>
    </r>
    <r>
      <rPr>
        <b/>
        <sz val="11"/>
        <color theme="1"/>
        <rFont val="Calibri"/>
        <family val="2"/>
        <scheme val="minor"/>
      </rPr>
      <t xml:space="preserve">- PSICOLOGO
*F320- </t>
    </r>
    <r>
      <rPr>
        <sz val="11"/>
        <color theme="1"/>
        <rFont val="Calibri"/>
        <family val="2"/>
        <scheme val="minor"/>
      </rPr>
      <t>Episodio depresivo leve</t>
    </r>
    <r>
      <rPr>
        <b/>
        <sz val="11"/>
        <color theme="1"/>
        <rFont val="Calibri"/>
        <family val="2"/>
        <scheme val="minor"/>
      </rPr>
      <t xml:space="preserve">
- NUTRICIONISTA
*Z713 - </t>
    </r>
    <r>
      <rPr>
        <sz val="11"/>
        <color theme="1"/>
        <rFont val="Calibri"/>
        <family val="2"/>
        <scheme val="minor"/>
      </rPr>
      <t xml:space="preserve">Consulta para instruccion y vigilancia de la dieta 
</t>
    </r>
    <r>
      <rPr>
        <b/>
        <sz val="11"/>
        <color theme="1"/>
        <rFont val="Calibri"/>
        <family val="2"/>
        <scheme val="minor"/>
      </rPr>
      <t xml:space="preserve">- OBSTETRA
* O990 - </t>
    </r>
    <r>
      <rPr>
        <sz val="11"/>
        <color theme="1"/>
        <rFont val="Calibri"/>
        <family val="2"/>
        <scheme val="minor"/>
      </rPr>
      <t>Anemia que complica el embarazo, el parto y el puerperio</t>
    </r>
    <r>
      <rPr>
        <b/>
        <sz val="11"/>
        <color theme="1"/>
        <rFont val="Calibri"/>
        <family val="2"/>
        <scheme val="minor"/>
      </rPr>
      <t xml:space="preserve">
</t>
    </r>
  </si>
  <si>
    <r>
      <rPr>
        <b/>
        <sz val="11"/>
        <color theme="1"/>
        <rFont val="Calibri"/>
        <family val="2"/>
        <scheme val="minor"/>
      </rPr>
      <t>RC14:</t>
    </r>
    <r>
      <rPr>
        <sz val="11"/>
        <color theme="1"/>
        <rFont val="Calibri"/>
        <family val="2"/>
        <scheme val="minor"/>
      </rPr>
      <t xml:space="preserve">
* 005 - Edad Gestacional - En caso de ser gestante
</t>
    </r>
    <r>
      <rPr>
        <b/>
        <sz val="11"/>
        <color theme="1"/>
        <rFont val="Calibri"/>
        <family val="2"/>
        <scheme val="minor"/>
      </rPr>
      <t>RC05:</t>
    </r>
    <r>
      <rPr>
        <sz val="11"/>
        <color theme="1"/>
        <rFont val="Calibri"/>
        <family val="2"/>
        <scheme val="minor"/>
      </rPr>
      <t xml:space="preserve">
*407 - Tamizaje en salud mental
</t>
    </r>
    <r>
      <rPr>
        <b/>
        <sz val="11"/>
        <color theme="1"/>
        <rFont val="Calibri"/>
        <family val="2"/>
        <scheme val="minor"/>
      </rPr>
      <t>dato indispensable en caso de ser atendido por profesional psicologo- PATOLOGIO O NORMAL</t>
    </r>
    <r>
      <rPr>
        <sz val="11"/>
        <color theme="1"/>
        <rFont val="Calibri"/>
        <family val="2"/>
        <scheme val="minor"/>
      </rPr>
      <t xml:space="preserve">
* 003 - Peso 
* 004 - Talla 
* 014 - IMC 
* 015 - PAB 
* 301 - P.A(mmHg)
</t>
    </r>
  </si>
  <si>
    <r>
      <rPr>
        <b/>
        <sz val="11"/>
        <color theme="1"/>
        <rFont val="Calibri"/>
        <family val="2"/>
        <scheme val="minor"/>
      </rPr>
      <t>OBLIGATORIO:</t>
    </r>
    <r>
      <rPr>
        <sz val="11"/>
        <color theme="1"/>
        <rFont val="Calibri"/>
        <family val="2"/>
        <scheme val="minor"/>
      </rPr>
      <t xml:space="preserve">
* 003 - Peso
* 004 - Talla
* 307 - Consejeria Nutricional
* 019 - Prematuro al Nacer
* 020 - Bajo peso al nacer
* 021 - Enfermedades Congénita/Secuelas de Nacimiento
* 120 - Control CRED
</t>
    </r>
    <r>
      <rPr>
        <b/>
        <sz val="11"/>
        <color theme="1"/>
        <rFont val="Calibri"/>
        <family val="2"/>
        <scheme val="minor"/>
      </rPr>
      <t>OPCIONAL:</t>
    </r>
    <r>
      <rPr>
        <sz val="11"/>
        <color theme="1"/>
        <rFont val="Calibri"/>
        <family val="2"/>
        <scheme val="minor"/>
      </rPr>
      <t xml:space="preserve">
* 407 - Tamizaje de salud mental</t>
    </r>
  </si>
  <si>
    <r>
      <rPr>
        <b/>
        <sz val="11"/>
        <color theme="1"/>
        <rFont val="Calibri"/>
        <family val="2"/>
        <scheme val="minor"/>
      </rPr>
      <t>OBLIGATORIO:</t>
    </r>
    <r>
      <rPr>
        <sz val="11"/>
        <color theme="1"/>
        <rFont val="Calibri"/>
        <family val="2"/>
        <scheme val="minor"/>
      </rPr>
      <t xml:space="preserve">
* 003 - Peso
* 004 - Talla
* 307 - Consejeria Nutricional
* 019 - Prematuro al Nacer
* 020 - Bajo peso al nacer
* 021 - Enfermedades Congénita/Secuelas de Nacimiento
* 120 - Control CRED
* 002 - Lactancia Materna Exclusiva
</t>
    </r>
    <r>
      <rPr>
        <b/>
        <sz val="11"/>
        <color theme="1"/>
        <rFont val="Calibri"/>
        <family val="2"/>
        <scheme val="minor"/>
      </rPr>
      <t>OPCIONAL:</t>
    </r>
    <r>
      <rPr>
        <sz val="11"/>
        <color theme="1"/>
        <rFont val="Calibri"/>
        <family val="2"/>
        <scheme val="minor"/>
      </rPr>
      <t xml:space="preserve">
407 - Tamizaje de salud mental </t>
    </r>
  </si>
  <si>
    <r>
      <rPr>
        <b/>
        <sz val="11"/>
        <color theme="1"/>
        <rFont val="Calibri"/>
        <family val="2"/>
        <scheme val="minor"/>
      </rPr>
      <t>8153</t>
    </r>
    <r>
      <rPr>
        <sz val="11"/>
        <color theme="1"/>
        <rFont val="Calibri"/>
        <family val="2"/>
        <scheme val="minor"/>
      </rPr>
      <t xml:space="preserve"> - Retinol Tab- 200 mg</t>
    </r>
  </si>
  <si>
    <r>
      <rPr>
        <b/>
        <sz val="11"/>
        <color theme="1"/>
        <rFont val="Calibri"/>
        <family val="2"/>
        <scheme val="minor"/>
      </rPr>
      <t>OPCIONAL:</t>
    </r>
    <r>
      <rPr>
        <sz val="11"/>
        <color theme="1"/>
        <rFont val="Calibri"/>
        <family val="2"/>
        <scheme val="minor"/>
      </rPr>
      <t xml:space="preserve">
* 84152  -Dosaje de Antígeno prostático específico (PSA); complejos (medición directa).  
   ó
* 82270 - sangre oculta en heces Thevenom
Resultados de laboratorio deben de ser (POSITIVO O NEGATIVO)</t>
    </r>
  </si>
  <si>
    <r>
      <t xml:space="preserve">* Z298 - Otras medidas profilacticas
</t>
    </r>
    <r>
      <rPr>
        <b/>
        <sz val="11"/>
        <color rgb="FF7030A0"/>
        <rFont val="Calibri"/>
        <family val="2"/>
        <scheme val="minor"/>
      </rPr>
      <t>EN CASOS DE SER DIAGNOSTICADO CON ANEMIA:</t>
    </r>
    <r>
      <rPr>
        <sz val="11"/>
        <color rgb="FF7030A0"/>
        <rFont val="Calibri"/>
        <family val="2"/>
        <scheme val="minor"/>
      </rPr>
      <t xml:space="preserve">
* D509 - ANEMIA
REGISTRAR POR LO MENOS UNO DE LOS DOS DIAGNOSTICOS
 Z2981 ADMINISTRACION DE VITAMINA A
Z2982 ADMINISTRACION DE SULFATO FERROSO
</t>
    </r>
  </si>
  <si>
    <r>
      <rPr>
        <b/>
        <sz val="11"/>
        <color theme="1"/>
        <rFont val="Calibri"/>
        <family val="2"/>
        <scheme val="minor"/>
      </rPr>
      <t>OBLIGATORIO:</t>
    </r>
    <r>
      <rPr>
        <sz val="11"/>
        <color theme="1"/>
        <rFont val="Calibri"/>
        <family val="2"/>
        <scheme val="minor"/>
      </rPr>
      <t xml:space="preserve">
</t>
    </r>
    <r>
      <rPr>
        <b/>
        <sz val="11"/>
        <color theme="1"/>
        <rFont val="Calibri"/>
        <family val="2"/>
        <scheme val="minor"/>
      </rPr>
      <t>* Z299 - MEDIDA PROFILACTICA no especificada</t>
    </r>
  </si>
  <si>
    <t xml:space="preserve">* Z018 - Otros examenes especiales Especificos
Z125 EXAMEN DE PESQUISA ESPECIAL PARA TUMOR DE LA PROSTATA </t>
  </si>
  <si>
    <t>Z123 EXAMEN DE PESQUISA ESPECIAL PARA TUMOR DE LA MAMA</t>
  </si>
  <si>
    <r>
      <rPr>
        <b/>
        <sz val="11"/>
        <color theme="1"/>
        <rFont val="Calibri"/>
        <family val="2"/>
        <scheme val="minor"/>
      </rPr>
      <t>OBLIGATORIO:</t>
    </r>
    <r>
      <rPr>
        <sz val="11"/>
        <color theme="1"/>
        <rFont val="Calibri"/>
        <family val="2"/>
        <scheme val="minor"/>
      </rPr>
      <t xml:space="preserve">
</t>
    </r>
    <r>
      <rPr>
        <b/>
        <sz val="11"/>
        <color theme="1"/>
        <rFont val="Calibri"/>
        <family val="2"/>
        <scheme val="minor"/>
      </rPr>
      <t xml:space="preserve">* Z000 </t>
    </r>
    <r>
      <rPr>
        <sz val="11"/>
        <color theme="1"/>
        <rFont val="Calibri"/>
        <family val="2"/>
        <scheme val="minor"/>
      </rPr>
      <t xml:space="preserve">- EXAMEN MEDICO GENERAL(NORMAL) 
</t>
    </r>
    <r>
      <rPr>
        <sz val="11"/>
        <color rgb="FFFF0000"/>
        <rFont val="Calibri"/>
        <family val="2"/>
        <scheme val="minor"/>
      </rPr>
      <t>Z008 OTROS EXAMENES GENERALES (NORMAL)</t>
    </r>
    <r>
      <rPr>
        <sz val="11"/>
        <color theme="1"/>
        <rFont val="Calibri"/>
        <family val="2"/>
        <scheme val="minor"/>
      </rPr>
      <t xml:space="preserve">
</t>
    </r>
    <r>
      <rPr>
        <b/>
        <sz val="11"/>
        <color theme="1"/>
        <rFont val="Calibri"/>
        <family val="2"/>
        <scheme val="minor"/>
      </rPr>
      <t>OPCIONAL:</t>
    </r>
    <r>
      <rPr>
        <sz val="11"/>
        <color theme="1"/>
        <rFont val="Calibri"/>
        <family val="2"/>
        <scheme val="minor"/>
      </rPr>
      <t xml:space="preserve">
* E440 - Desnutrición Proteico calórica Moderada (Delgadez) ó
* E660  - Obesidad debida a exceso de Calorías  (Sobrepeso) ó 
* E669  - Obesidad, No especificada .</t>
    </r>
  </si>
  <si>
    <r>
      <rPr>
        <b/>
        <sz val="11"/>
        <color theme="1"/>
        <rFont val="Calibri"/>
        <family val="2"/>
        <scheme val="minor"/>
      </rPr>
      <t>OBLIGATORIO:</t>
    </r>
    <r>
      <rPr>
        <sz val="11"/>
        <color theme="1"/>
        <rFont val="Calibri"/>
        <family val="2"/>
        <scheme val="minor"/>
      </rPr>
      <t xml:space="preserve">
</t>
    </r>
    <r>
      <rPr>
        <b/>
        <sz val="11"/>
        <color theme="1"/>
        <rFont val="Calibri"/>
        <family val="2"/>
        <scheme val="minor"/>
      </rPr>
      <t xml:space="preserve">* Z000 - </t>
    </r>
    <r>
      <rPr>
        <sz val="11"/>
        <color theme="1"/>
        <rFont val="Calibri"/>
        <family val="2"/>
        <scheme val="minor"/>
      </rPr>
      <t xml:space="preserve">EXAMEN MEDICO GENERAL(NORMAL) 
</t>
    </r>
    <r>
      <rPr>
        <sz val="11"/>
        <color rgb="FFFF0000"/>
        <rFont val="Calibri"/>
        <family val="2"/>
        <scheme val="minor"/>
      </rPr>
      <t>Z008 OTROS EXAMENES GENERALES (NORMAL)</t>
    </r>
    <r>
      <rPr>
        <sz val="11"/>
        <color theme="1"/>
        <rFont val="Calibri"/>
        <family val="2"/>
        <scheme val="minor"/>
      </rPr>
      <t xml:space="preserve">
</t>
    </r>
    <r>
      <rPr>
        <b/>
        <sz val="11"/>
        <color theme="1"/>
        <rFont val="Calibri"/>
        <family val="2"/>
        <scheme val="minor"/>
      </rPr>
      <t>OPCIONALES:
* E440</t>
    </r>
    <r>
      <rPr>
        <sz val="11"/>
        <color theme="1"/>
        <rFont val="Calibri"/>
        <family val="2"/>
        <scheme val="minor"/>
      </rPr>
      <t xml:space="preserve"> - Desnutrición Proteico calórica Moderada (Delgadez) ó
</t>
    </r>
    <r>
      <rPr>
        <b/>
        <sz val="11"/>
        <color theme="1"/>
        <rFont val="Calibri"/>
        <family val="2"/>
        <scheme val="minor"/>
      </rPr>
      <t>* E660 -</t>
    </r>
    <r>
      <rPr>
        <sz val="11"/>
        <color theme="1"/>
        <rFont val="Calibri"/>
        <family val="2"/>
        <scheme val="minor"/>
      </rPr>
      <t xml:space="preserve"> Obesidad debida a exceso de Calorías  (Sobrepeso) ó 
</t>
    </r>
    <r>
      <rPr>
        <b/>
        <sz val="11"/>
        <color theme="1"/>
        <rFont val="Calibri"/>
        <family val="2"/>
        <scheme val="minor"/>
      </rPr>
      <t xml:space="preserve">* E669 </t>
    </r>
    <r>
      <rPr>
        <sz val="11"/>
        <color theme="1"/>
        <rFont val="Calibri"/>
        <family val="2"/>
        <scheme val="minor"/>
      </rPr>
      <t xml:space="preserve"> - Obesidad, No especificada .</t>
    </r>
  </si>
  <si>
    <t>* Edad minima: 02 años
* Edad Maxima: 120 años 
SEXO: 
* Ambos</t>
  </si>
  <si>
    <r>
      <t xml:space="preserve">*00259 - Albendazol 100mg/5ml   - </t>
    </r>
    <r>
      <rPr>
        <b/>
        <sz val="11"/>
        <color theme="1"/>
        <rFont val="Calibri"/>
        <family val="2"/>
        <scheme val="minor"/>
      </rPr>
      <t>menor a los 5 años</t>
    </r>
    <r>
      <rPr>
        <sz val="11"/>
        <color theme="1"/>
        <rFont val="Calibri"/>
        <family val="2"/>
        <scheme val="minor"/>
      </rPr>
      <t xml:space="preserve">
*00269 -  Albendazol 200mg  - </t>
    </r>
    <r>
      <rPr>
        <b/>
        <sz val="11"/>
        <color theme="1"/>
        <rFont val="Calibri"/>
        <family val="2"/>
        <scheme val="minor"/>
      </rPr>
      <t>mayores de 5 años
4586 Mebendazol adultos</t>
    </r>
    <r>
      <rPr>
        <sz val="11"/>
        <color theme="1"/>
        <rFont val="Calibri"/>
        <family val="2"/>
        <scheme val="minor"/>
      </rPr>
      <t xml:space="preserve">
</t>
    </r>
  </si>
  <si>
    <r>
      <rPr>
        <b/>
        <sz val="11"/>
        <color theme="1"/>
        <rFont val="Calibri"/>
        <family val="2"/>
        <scheme val="minor"/>
      </rPr>
      <t>OBLIGATORIO:</t>
    </r>
    <r>
      <rPr>
        <sz val="11"/>
        <color theme="1"/>
        <rFont val="Calibri"/>
        <family val="2"/>
        <scheme val="minor"/>
      </rPr>
      <t xml:space="preserve">
Z124 EXAMEN DE PESQUISA ESPECIAL PARA TUMOR DE CUELLO UTERINO</t>
    </r>
  </si>
  <si>
    <t>99386.03 EXAMEN CLINICO DE MAMA</t>
  </si>
  <si>
    <r>
      <rPr>
        <b/>
        <sz val="11"/>
        <color theme="1"/>
        <rFont val="Calibri"/>
        <family val="2"/>
        <scheme val="minor"/>
      </rPr>
      <t>OBLIGATORIO:</t>
    </r>
    <r>
      <rPr>
        <sz val="11"/>
        <color theme="1"/>
        <rFont val="Calibri"/>
        <family val="2"/>
        <scheme val="minor"/>
      </rPr>
      <t xml:space="preserve">
RV19:
* 80055 - Perfil Prenatal + 86899 - Grupo sanguíneo y Factor Rh
* 82947 - Glucosa en sangre 
* 81005 - Exámen completo de orina
* 86592 - Prueba de SIFILIS  cualitativa (RPR, VDRL, ART)
* 86701 - Prueba rápida/ELISA para VIH
* 87340 - Hepatitis B
</t>
    </r>
  </si>
  <si>
    <r>
      <rPr>
        <b/>
        <sz val="11"/>
        <color theme="1"/>
        <rFont val="Calibri"/>
        <family val="2"/>
        <scheme val="minor"/>
      </rPr>
      <t>OBLIGATORIO:</t>
    </r>
    <r>
      <rPr>
        <sz val="11"/>
        <color theme="1"/>
        <rFont val="Calibri"/>
        <family val="2"/>
        <scheme val="minor"/>
      </rPr>
      <t xml:space="preserve">
</t>
    </r>
    <r>
      <rPr>
        <b/>
        <sz val="11"/>
        <color theme="1"/>
        <rFont val="Calibri"/>
        <family val="2"/>
        <scheme val="minor"/>
      </rPr>
      <t>* 59401 -</t>
    </r>
    <r>
      <rPr>
        <sz val="11"/>
        <color theme="1"/>
        <rFont val="Calibri"/>
        <family val="2"/>
        <scheme val="minor"/>
      </rPr>
      <t xml:space="preserve"> Atención Prenatal
* </t>
    </r>
    <r>
      <rPr>
        <b/>
        <sz val="11"/>
        <color theme="1"/>
        <rFont val="Calibri"/>
        <family val="2"/>
        <scheme val="minor"/>
      </rPr>
      <t>99402.01</t>
    </r>
    <r>
      <rPr>
        <sz val="11"/>
        <color theme="1"/>
        <rFont val="Calibri"/>
        <family val="2"/>
        <scheme val="minor"/>
      </rPr>
      <t xml:space="preserve"> - Consejeria en signos de alarma (embarazo, puerperio)
</t>
    </r>
    <r>
      <rPr>
        <b/>
        <sz val="11"/>
        <color theme="1"/>
        <rFont val="Calibri"/>
        <family val="2"/>
        <scheme val="minor"/>
      </rPr>
      <t>OPCIONAL:</t>
    </r>
    <r>
      <rPr>
        <sz val="11"/>
        <color theme="1"/>
        <rFont val="Calibri"/>
        <family val="2"/>
        <scheme val="minor"/>
      </rPr>
      <t xml:space="preserve">
</t>
    </r>
    <r>
      <rPr>
        <b/>
        <sz val="11"/>
        <color theme="1"/>
        <rFont val="Calibri"/>
        <family val="2"/>
        <scheme val="minor"/>
      </rPr>
      <t xml:space="preserve">* 85018 - </t>
    </r>
    <r>
      <rPr>
        <sz val="11"/>
        <color theme="1"/>
        <rFont val="Calibri"/>
        <family val="2"/>
        <scheme val="minor"/>
      </rPr>
      <t xml:space="preserve">Dosaje de Hemoglobina Ó
</t>
    </r>
  </si>
  <si>
    <r>
      <rPr>
        <b/>
        <sz val="11"/>
        <color theme="1"/>
        <rFont val="Calibri"/>
        <family val="2"/>
        <scheme val="minor"/>
      </rPr>
      <t>OBLIGATORIO:</t>
    </r>
    <r>
      <rPr>
        <sz val="11"/>
        <color theme="1"/>
        <rFont val="Calibri"/>
        <family val="2"/>
        <scheme val="minor"/>
      </rPr>
      <t xml:space="preserve">
* 003 - Peso 
* 004 - Talla 
* 010 - Altura uterina 
* 301 - P.A(mmHg)
* 300 - CPN
* 005 - Edad Gestacional embarazo (en Semanas)
</t>
    </r>
    <r>
      <rPr>
        <b/>
        <sz val="11"/>
        <color theme="1"/>
        <rFont val="Calibri"/>
        <family val="2"/>
        <scheme val="minor"/>
      </rPr>
      <t>OPCIONAL:</t>
    </r>
    <r>
      <rPr>
        <sz val="11"/>
        <color theme="1"/>
        <rFont val="Calibri"/>
        <family val="2"/>
        <scheme val="minor"/>
      </rPr>
      <t xml:space="preserve">
* 014 - IMC 
* 015 - PAB </t>
    </r>
  </si>
  <si>
    <r>
      <rPr>
        <b/>
        <sz val="11"/>
        <color theme="1"/>
        <rFont val="Calibri"/>
        <family val="2"/>
        <scheme val="minor"/>
      </rPr>
      <t xml:space="preserve">OBLIGATORIO: </t>
    </r>
    <r>
      <rPr>
        <sz val="11"/>
        <color theme="1"/>
        <rFont val="Calibri"/>
        <family val="2"/>
        <scheme val="minor"/>
      </rPr>
      <t xml:space="preserve">
* 003 - Peso 
* 004 - Talla 
* 019 - Prematuro al Nacer 
* 020 - Bajo peso al nacer 
* 021 - Enfermedades Congénita/Secuelas de Nacimiento
* 120 - Control CRED  </t>
    </r>
  </si>
  <si>
    <r>
      <rPr>
        <b/>
        <sz val="11"/>
        <color theme="1"/>
        <rFont val="Calibri"/>
        <family val="2"/>
        <scheme val="minor"/>
      </rPr>
      <t xml:space="preserve">OPCIONAL:
* 99383 - </t>
    </r>
    <r>
      <rPr>
        <sz val="11"/>
        <color theme="1"/>
        <rFont val="Calibri"/>
        <family val="2"/>
        <scheme val="minor"/>
      </rPr>
      <t xml:space="preserve">Control de Crecimiento y Desarrollo de niños de 5 a 11 años 
</t>
    </r>
    <r>
      <rPr>
        <b/>
        <sz val="11"/>
        <color theme="1"/>
        <rFont val="Calibri"/>
        <family val="2"/>
        <scheme val="minor"/>
      </rPr>
      <t xml:space="preserve">* 85018 </t>
    </r>
    <r>
      <rPr>
        <sz val="11"/>
        <color theme="1"/>
        <rFont val="Calibri"/>
        <family val="2"/>
        <scheme val="minor"/>
      </rPr>
      <t xml:space="preserve">- Dosaje de Hemoglobina Ó
</t>
    </r>
    <r>
      <rPr>
        <b/>
        <sz val="11"/>
        <color theme="1"/>
        <rFont val="Calibri"/>
        <family val="2"/>
        <scheme val="minor"/>
      </rPr>
      <t xml:space="preserve">* 85007 - </t>
    </r>
    <r>
      <rPr>
        <sz val="11"/>
        <color theme="1"/>
        <rFont val="Calibri"/>
        <family val="2"/>
        <scheme val="minor"/>
      </rPr>
      <t xml:space="preserve">Hemograma Ó
</t>
    </r>
    <r>
      <rPr>
        <b/>
        <sz val="11"/>
        <color theme="1"/>
        <rFont val="Calibri"/>
        <family val="2"/>
        <scheme val="minor"/>
      </rPr>
      <t xml:space="preserve">* 85027 - </t>
    </r>
    <r>
      <rPr>
        <sz val="11"/>
        <color theme="1"/>
        <rFont val="Calibri"/>
        <family val="2"/>
        <scheme val="minor"/>
      </rPr>
      <t xml:space="preserve">Hemograma Completo Ó
</t>
    </r>
    <r>
      <rPr>
        <b/>
        <sz val="11"/>
        <color theme="1"/>
        <rFont val="Calibri"/>
        <family val="2"/>
        <scheme val="minor"/>
      </rPr>
      <t xml:space="preserve">* 85031 - </t>
    </r>
    <r>
      <rPr>
        <sz val="11"/>
        <color theme="1"/>
        <rFont val="Calibri"/>
        <family val="2"/>
        <scheme val="minor"/>
      </rPr>
      <t xml:space="preserve">Hemograma completo, tercera generación 
</t>
    </r>
  </si>
  <si>
    <r>
      <rPr>
        <b/>
        <sz val="11"/>
        <color theme="1"/>
        <rFont val="Calibri"/>
        <family val="2"/>
        <scheme val="minor"/>
      </rPr>
      <t>OBLIGATORIO:</t>
    </r>
    <r>
      <rPr>
        <sz val="11"/>
        <color theme="1"/>
        <rFont val="Calibri"/>
        <family val="2"/>
        <scheme val="minor"/>
      </rPr>
      <t xml:space="preserve">
* 003 - Peso
* 004 - Talla
* 019 - Prematuro al Nacer
* 020 - Bajo peso al nacer
* 021 - Enfermedades Congénita/Secuelas de Nacimiento
* 120 - Control CRED</t>
    </r>
  </si>
  <si>
    <r>
      <rPr>
        <b/>
        <sz val="11"/>
        <color theme="1"/>
        <rFont val="Calibri"/>
        <family val="2"/>
        <scheme val="minor"/>
      </rPr>
      <t>Obligatorios:</t>
    </r>
    <r>
      <rPr>
        <sz val="11"/>
        <color theme="1"/>
        <rFont val="Calibri"/>
        <family val="2"/>
        <scheme val="minor"/>
      </rPr>
      <t xml:space="preserve">
* 99381 - ATENCIÓN INTEGRAL DE SALUD DEL NIÑO CRED &lt;1 año.
* 99382 - ATENCIÓN INTEGRAL DE SALUD DEL NIÑO CRED 1 año.a 4 años 
</t>
    </r>
    <r>
      <rPr>
        <b/>
        <sz val="11"/>
        <color theme="1"/>
        <rFont val="Calibri"/>
        <family val="2"/>
        <scheme val="minor"/>
      </rPr>
      <t xml:space="preserve">ADICIONAL
</t>
    </r>
    <r>
      <rPr>
        <sz val="11"/>
        <color theme="1"/>
        <rFont val="Calibri"/>
        <family val="2"/>
        <scheme val="minor"/>
      </rPr>
      <t xml:space="preserve">
</t>
    </r>
    <r>
      <rPr>
        <b/>
        <sz val="11"/>
        <color theme="1"/>
        <rFont val="Calibri"/>
        <family val="2"/>
        <scheme val="minor"/>
      </rPr>
      <t xml:space="preserve">* 90471 - </t>
    </r>
    <r>
      <rPr>
        <sz val="11"/>
        <color theme="1"/>
        <rFont val="Calibri"/>
        <family val="2"/>
        <scheme val="minor"/>
      </rPr>
      <t xml:space="preserve"> Inmunización   segun a sus vacunas y/o edad. 
* 99401.07 -  Consejeria en Inmunizaciónes        
</t>
    </r>
    <r>
      <rPr>
        <b/>
        <sz val="11"/>
        <color theme="1"/>
        <rFont val="Calibri"/>
        <family val="2"/>
        <scheme val="minor"/>
      </rPr>
      <t xml:space="preserve">* 85018 /85007 /85057 / 85031 - </t>
    </r>
    <r>
      <rPr>
        <sz val="11"/>
        <color theme="1"/>
        <rFont val="Calibri"/>
        <family val="2"/>
        <scheme val="minor"/>
      </rPr>
      <t xml:space="preserve">DOSAJE DE HEMOGLOBINA (VALOR AJUSTADO) (SI EL VALOR DE HEMOGLOBINA ESTA POR DEBAJO DE LOS RANGOS NORMALES DEBERA SER REGISTRADO EL DIAGNOSTICO DE ANEMIA)
</t>
    </r>
  </si>
  <si>
    <r>
      <rPr>
        <b/>
        <sz val="11"/>
        <color theme="1"/>
        <rFont val="Calibri"/>
        <family val="2"/>
        <scheme val="minor"/>
      </rPr>
      <t>OBLIGATORIO:</t>
    </r>
    <r>
      <rPr>
        <sz val="11"/>
        <color theme="1"/>
        <rFont val="Calibri"/>
        <family val="2"/>
        <scheme val="minor"/>
      </rPr>
      <t xml:space="preserve">
* 003 - Peso
* 004 - Talla
* 019 - Prematuro al Nacer
* 020 - Bajo peso al nacer
* 021 - Enfermedades Congénita/Secuelas de Nacimiento
* 120 - Control CRED
</t>
    </r>
    <r>
      <rPr>
        <b/>
        <sz val="11"/>
        <color theme="1"/>
        <rFont val="Calibri"/>
        <family val="2"/>
        <scheme val="minor"/>
      </rPr>
      <t xml:space="preserve">
OPCIONAL:</t>
    </r>
    <r>
      <rPr>
        <sz val="11"/>
        <color theme="1"/>
        <rFont val="Calibri"/>
        <family val="2"/>
        <scheme val="minor"/>
      </rPr>
      <t xml:space="preserve">
* 014 - IMC
* 015 - PAB</t>
    </r>
  </si>
  <si>
    <r>
      <rPr>
        <b/>
        <sz val="11"/>
        <color theme="1"/>
        <rFont val="Calibri"/>
        <family val="2"/>
        <scheme val="minor"/>
      </rPr>
      <t>OBLIGATORIO</t>
    </r>
    <r>
      <rPr>
        <sz val="11"/>
        <color theme="1"/>
        <rFont val="Calibri"/>
        <family val="2"/>
        <scheme val="minor"/>
      </rPr>
      <t xml:space="preserve">
* 99381 - ATENCIÓN INTEGRAL DE SALUD DEL NIÑO CRED &lt;1 año. 
</t>
    </r>
    <r>
      <rPr>
        <b/>
        <sz val="11"/>
        <color theme="1"/>
        <rFont val="Calibri"/>
        <family val="2"/>
        <scheme val="minor"/>
      </rPr>
      <t>ADICIONAL:</t>
    </r>
    <r>
      <rPr>
        <sz val="11"/>
        <color theme="1"/>
        <rFont val="Calibri"/>
        <family val="2"/>
        <scheme val="minor"/>
      </rPr>
      <t xml:space="preserve">
* 90471 -  Inmunización  
* 85018 /85007 /85057 / 85031 - DOSAJE DE HEMOGLOBINA (VALOR AJUSTADO) (SI EL VALOR DE HEMOGLOBINA ESTA POR DEBAJO DE LOS RANGOS NORMALES DEBERA SER REGISTRADO EL DIAGNOSTICO DE ANEMIA)
</t>
    </r>
  </si>
  <si>
    <r>
      <rPr>
        <b/>
        <sz val="11"/>
        <color rgb="FF7030A0"/>
        <rFont val="Calibri"/>
        <family val="2"/>
        <scheme val="minor"/>
      </rPr>
      <t xml:space="preserve">OBLIGATORIO: </t>
    </r>
    <r>
      <rPr>
        <sz val="11"/>
        <color rgb="FF7030A0"/>
        <rFont val="Calibri"/>
        <family val="2"/>
        <scheme val="minor"/>
      </rPr>
      <t xml:space="preserve">
RC14:
* 003 - Peso 
* 004 - Talla 
</t>
    </r>
  </si>
  <si>
    <r>
      <rPr>
        <b/>
        <sz val="11"/>
        <color rgb="FF7030A0"/>
        <rFont val="Calibri"/>
        <family val="2"/>
        <scheme val="minor"/>
      </rPr>
      <t>OBLIGATORIO
OPCIONAL:</t>
    </r>
    <r>
      <rPr>
        <sz val="11"/>
        <color rgb="FF7030A0"/>
        <rFont val="Calibri"/>
        <family val="2"/>
        <scheme val="minor"/>
      </rPr>
      <t xml:space="preserve">
* 85018 - Dosaje de Hemoglobina Ó
</t>
    </r>
  </si>
  <si>
    <r>
      <rPr>
        <b/>
        <sz val="11"/>
        <color theme="1"/>
        <rFont val="Calibri"/>
        <family val="2"/>
        <scheme val="minor"/>
      </rPr>
      <t xml:space="preserve">OBLIGATORIO: </t>
    </r>
    <r>
      <rPr>
        <sz val="11"/>
        <color theme="1"/>
        <rFont val="Calibri"/>
        <family val="2"/>
        <scheme val="minor"/>
      </rPr>
      <t xml:space="preserve">
RC14:
* 003 - Peso 
* 004 - Talla 
 </t>
    </r>
  </si>
  <si>
    <t xml:space="preserve">RC14:
* 003 - Peso 
* 004 - Talla 
* 301 - P.A(mmHg)
* 010 - Altura Uterina
* 209 - Control de Puerperio
</t>
  </si>
  <si>
    <t xml:space="preserve">RC14:
* 003 - Peso 
* 004 - Talla 
* 019 - Prematuro al Nacer 
* 020 - Bajo peso al nacer 
* 021 - Enfermedades Congénita/Secuelas de Nacimiento
* 120 - Control CRED </t>
  </si>
  <si>
    <r>
      <rPr>
        <b/>
        <sz val="11"/>
        <color theme="1"/>
        <rFont val="Calibri"/>
        <family val="2"/>
        <scheme val="minor"/>
      </rPr>
      <t>OPCIONAL:</t>
    </r>
    <r>
      <rPr>
        <sz val="11"/>
        <color theme="1"/>
        <rFont val="Calibri"/>
        <family val="2"/>
        <scheme val="minor"/>
      </rPr>
      <t xml:space="preserve">
*99383 - ATENCIÓN INTEGRAL DE SALUD DEL NIÑO CRED DE 05 A 09 AÑOS.
* 90471 - Inmunización                                   
* 85018 - DOSAJE DE HEMOGLOBINA  (VALOR AJUSTADO). Si los valores estan por debajo de los rangos establecidos debera registrar diagnostico de Anemia.</t>
    </r>
  </si>
  <si>
    <t xml:space="preserve">OPCIONAL:
RC14:
* 003 - Peso 
* 004 - Talla 
* 019 - Prematuro al Nacer 
* 020 - Bajo peso al nacer 
* 021 - Enfermedades Congénita/Secuelas de Nacimiento
* 120 - Control CRED </t>
  </si>
  <si>
    <r>
      <rPr>
        <b/>
        <sz val="11"/>
        <color theme="1"/>
        <rFont val="Calibri"/>
        <family val="2"/>
        <scheme val="minor"/>
      </rPr>
      <t>OBLIGATORIO:</t>
    </r>
    <r>
      <rPr>
        <sz val="11"/>
        <color theme="1"/>
        <rFont val="Calibri"/>
        <family val="2"/>
        <scheme val="minor"/>
      </rPr>
      <t xml:space="preserve">
* 005 - Edad Gestacional 
* 003 - Peso 
* 004 - Talla 
* 014 - IMC 
* 015 - PAB 
* 301 - P.A(mmHg)
</t>
    </r>
    <r>
      <rPr>
        <b/>
        <sz val="11"/>
        <color theme="1"/>
        <rFont val="Calibri"/>
        <family val="2"/>
        <scheme val="minor"/>
      </rPr>
      <t>OPCIONAL:</t>
    </r>
    <r>
      <rPr>
        <sz val="11"/>
        <color theme="1"/>
        <rFont val="Calibri"/>
        <family val="2"/>
        <scheme val="minor"/>
      </rPr>
      <t xml:space="preserve">
407 - Tamizaje de salud mental
</t>
    </r>
  </si>
  <si>
    <r>
      <rPr>
        <b/>
        <sz val="11"/>
        <color theme="1"/>
        <rFont val="Calibri"/>
        <family val="2"/>
        <scheme val="minor"/>
      </rPr>
      <t>OBLIGATORIO:</t>
    </r>
    <r>
      <rPr>
        <sz val="11"/>
        <color theme="1"/>
        <rFont val="Calibri"/>
        <family val="2"/>
        <scheme val="minor"/>
      </rPr>
      <t xml:space="preserve">
*99384 - ATENCIÓN INTEGRAL DE SALUD DEL ADOLESCENTE DE 12 A 17 AÑOS
</t>
    </r>
    <r>
      <rPr>
        <b/>
        <sz val="11"/>
        <color theme="1"/>
        <rFont val="Calibri"/>
        <family val="2"/>
        <scheme val="minor"/>
      </rPr>
      <t>OPCIONAL:</t>
    </r>
    <r>
      <rPr>
        <sz val="11"/>
        <color theme="1"/>
        <rFont val="Calibri"/>
        <family val="2"/>
        <scheme val="minor"/>
      </rPr>
      <t xml:space="preserve">
* 85018 - Dosaje de Hemoglobina Ó
* 85007 - Hemograma Ó
* 85027 - Hemograma Completo Ó
* 85031 - Hemograma completo, tercera generación 
</t>
    </r>
  </si>
  <si>
    <r>
      <rPr>
        <b/>
        <sz val="11"/>
        <color theme="1"/>
        <rFont val="Calibri"/>
        <family val="2"/>
        <scheme val="minor"/>
      </rPr>
      <t>CONDICIONAL:</t>
    </r>
    <r>
      <rPr>
        <sz val="11"/>
        <color theme="1"/>
        <rFont val="Calibri"/>
        <family val="2"/>
        <scheme val="minor"/>
      </rPr>
      <t xml:space="preserve">
</t>
    </r>
    <r>
      <rPr>
        <b/>
        <sz val="11"/>
        <color theme="1"/>
        <rFont val="Calibri"/>
        <family val="2"/>
        <scheme val="minor"/>
      </rPr>
      <t>* 005 -</t>
    </r>
    <r>
      <rPr>
        <sz val="11"/>
        <color theme="1"/>
        <rFont val="Calibri"/>
        <family val="2"/>
        <scheme val="minor"/>
      </rPr>
      <t xml:space="preserve"> Edad Gestacional embarazo (en Semanas)
</t>
    </r>
    <r>
      <rPr>
        <b/>
        <sz val="11"/>
        <color theme="1"/>
        <rFont val="Calibri"/>
        <family val="2"/>
        <scheme val="minor"/>
      </rPr>
      <t xml:space="preserve">
OBLIGATORIO: </t>
    </r>
    <r>
      <rPr>
        <sz val="11"/>
        <color theme="1"/>
        <rFont val="Calibri"/>
        <family val="2"/>
        <scheme val="minor"/>
      </rPr>
      <t xml:space="preserve">
</t>
    </r>
    <r>
      <rPr>
        <b/>
        <sz val="11"/>
        <color theme="1"/>
        <rFont val="Calibri"/>
        <family val="2"/>
        <scheme val="minor"/>
      </rPr>
      <t>* 003 -</t>
    </r>
    <r>
      <rPr>
        <sz val="11"/>
        <color theme="1"/>
        <rFont val="Calibri"/>
        <family val="2"/>
        <scheme val="minor"/>
      </rPr>
      <t xml:space="preserve"> Peso 
</t>
    </r>
    <r>
      <rPr>
        <b/>
        <sz val="11"/>
        <color theme="1"/>
        <rFont val="Calibri"/>
        <family val="2"/>
        <scheme val="minor"/>
      </rPr>
      <t xml:space="preserve">* 004 </t>
    </r>
    <r>
      <rPr>
        <sz val="11"/>
        <color theme="1"/>
        <rFont val="Calibri"/>
        <family val="2"/>
        <scheme val="minor"/>
      </rPr>
      <t xml:space="preserve">- Talla 
</t>
    </r>
    <r>
      <rPr>
        <b/>
        <sz val="11"/>
        <color theme="1"/>
        <rFont val="Calibri"/>
        <family val="2"/>
        <scheme val="minor"/>
      </rPr>
      <t xml:space="preserve">* 014 </t>
    </r>
    <r>
      <rPr>
        <sz val="11"/>
        <color theme="1"/>
        <rFont val="Calibri"/>
        <family val="2"/>
        <scheme val="minor"/>
      </rPr>
      <t xml:space="preserve">- IMC </t>
    </r>
    <r>
      <rPr>
        <b/>
        <sz val="11"/>
        <color theme="1"/>
        <rFont val="Calibri"/>
        <family val="2"/>
        <scheme val="minor"/>
      </rPr>
      <t xml:space="preserve">
* 015 -</t>
    </r>
    <r>
      <rPr>
        <sz val="11"/>
        <color theme="1"/>
        <rFont val="Calibri"/>
        <family val="2"/>
        <scheme val="minor"/>
      </rPr>
      <t xml:space="preserve"> PAB 
*</t>
    </r>
    <r>
      <rPr>
        <b/>
        <sz val="11"/>
        <color theme="1"/>
        <rFont val="Calibri"/>
        <family val="2"/>
        <scheme val="minor"/>
      </rPr>
      <t xml:space="preserve"> 301 - </t>
    </r>
    <r>
      <rPr>
        <sz val="11"/>
        <color theme="1"/>
        <rFont val="Calibri"/>
        <family val="2"/>
        <scheme val="minor"/>
      </rPr>
      <t xml:space="preserve">P.A(mmHg)
</t>
    </r>
    <r>
      <rPr>
        <b/>
        <sz val="11"/>
        <color theme="1"/>
        <rFont val="Calibri"/>
        <family val="2"/>
        <scheme val="minor"/>
      </rPr>
      <t xml:space="preserve">* 401 </t>
    </r>
    <r>
      <rPr>
        <sz val="11"/>
        <color theme="1"/>
        <rFont val="Calibri"/>
        <family val="2"/>
        <scheme val="minor"/>
      </rPr>
      <t>- Evaluación Integral de Salud del joven o adulto anual (Eval. Joven y Adulto)</t>
    </r>
  </si>
  <si>
    <r>
      <t xml:space="preserve">RC31:
* 85018 - Dosaje de Hemoglobina 
</t>
    </r>
    <r>
      <rPr>
        <b/>
        <sz val="11"/>
        <color theme="1"/>
        <rFont val="Calibri"/>
        <family val="2"/>
        <scheme val="minor"/>
      </rPr>
      <t>OPCIONAL: 
* 82947 -</t>
    </r>
    <r>
      <rPr>
        <sz val="11"/>
        <color theme="1"/>
        <rFont val="Calibri"/>
        <family val="2"/>
        <scheme val="minor"/>
      </rPr>
      <t xml:space="preserve"> Glucosa Basal  (Colocar Resultado Númerico)                                                                                                                                 
</t>
    </r>
    <r>
      <rPr>
        <b/>
        <sz val="11"/>
        <color theme="1"/>
        <rFont val="Calibri"/>
        <family val="2"/>
        <scheme val="minor"/>
      </rPr>
      <t xml:space="preserve">* 82465 - </t>
    </r>
    <r>
      <rPr>
        <sz val="11"/>
        <color theme="1"/>
        <rFont val="Calibri"/>
        <family val="2"/>
        <scheme val="minor"/>
      </rPr>
      <t xml:space="preserve">Colesterol Total (Colocar Resultado (Normal ó Patologico  
</t>
    </r>
    <r>
      <rPr>
        <b/>
        <sz val="11"/>
        <color theme="1"/>
        <rFont val="Calibri"/>
        <family val="2"/>
        <scheme val="minor"/>
      </rPr>
      <t>* 84478 -</t>
    </r>
    <r>
      <rPr>
        <sz val="11"/>
        <color theme="1"/>
        <rFont val="Calibri"/>
        <family val="2"/>
        <scheme val="minor"/>
      </rPr>
      <t xml:space="preserve"> Trigliceridos ( Colocar Resultado Valor 
</t>
    </r>
    <r>
      <rPr>
        <b/>
        <sz val="11"/>
        <color theme="1"/>
        <rFont val="Calibri"/>
        <family val="2"/>
        <scheme val="minor"/>
      </rPr>
      <t>OJO TAMBEIN PUEDE IR ANEXADO CON LA PRESTACON 071 EXAMENES DE LABORATORIO</t>
    </r>
  </si>
  <si>
    <t>OBLIGATORIO:
RC14
* 003 - Peso 
* 004 - Talla
* 014 - IMC 
* 015 - PAB 
* 301 - P.A(mmHg)</t>
  </si>
  <si>
    <r>
      <rPr>
        <b/>
        <sz val="11"/>
        <color theme="1"/>
        <rFont val="Calibri"/>
        <family val="2"/>
        <scheme val="minor"/>
      </rPr>
      <t>OPCIONAL:</t>
    </r>
    <r>
      <rPr>
        <sz val="11"/>
        <color theme="1"/>
        <rFont val="Calibri"/>
        <family val="2"/>
        <scheme val="minor"/>
      </rPr>
      <t xml:space="preserve">
RC46: 
* 99401.01 - Consejería en Inmunizaciones
* 99403 - Consejería nutricional
* 85018 - Dosaje de hemoglobina
* 86701 - Detección de anticuerpos para HIV-1 / HIV -2
* 86703 - ELISA o prueba rápida para HIV-1 y HIV-2 -Test de ELISA para HIV
* 86592 - Prueba de sífilis cualitativa (VDRL, RPR) -Prueba de sífilis cualitativa (VDRL, RPR, ART)
* 82948 - Glucosa (tira reactiva)
* 81000 - Examen de orina con tira reactiva
</t>
    </r>
  </si>
  <si>
    <t xml:space="preserve">RC14:
* 003 - Peso 
* 004 - Talla
* 014 - IMC 
* 015 - PAB 
* 301 - P.A(mmHg)
RC05:
* 018 - Valoración Clínica del Adulto Mayor (VACAM) anual
</t>
  </si>
  <si>
    <r>
      <rPr>
        <b/>
        <sz val="11"/>
        <color theme="1"/>
        <rFont val="Calibri"/>
        <family val="2"/>
        <scheme val="minor"/>
      </rPr>
      <t xml:space="preserve">OPCIONAL: </t>
    </r>
    <r>
      <rPr>
        <sz val="11"/>
        <color theme="1"/>
        <rFont val="Calibri"/>
        <family val="2"/>
        <scheme val="minor"/>
      </rPr>
      <t xml:space="preserve">
* 85018 - Dosaje de Hemoglobina 
82947 - Glucosa Basal  (Colocar Resultado Númerico)                                              
82948 - Glucosa (tira reactiva)  (Colocar Resultado Númerico)     80061 - Perfil Lidíco ( Colocar Resultado (Normal ó Patologico)                                            
82465 - Colesterol Total (Colocar Resultado (Normal ó Patologico                                            
84478 - Trigliceridos ( Colocar Resultado Valor)
</t>
    </r>
    <r>
      <rPr>
        <b/>
        <sz val="11"/>
        <color theme="1"/>
        <rFont val="Calibri"/>
        <family val="2"/>
        <scheme val="minor"/>
      </rPr>
      <t>OJO TAMBIEN PUEDE IR ANEXADO CON LA PRESTACON 071 EXAMENES DE LABORATORIO</t>
    </r>
  </si>
  <si>
    <r>
      <t xml:space="preserve">RC14:
</t>
    </r>
    <r>
      <rPr>
        <b/>
        <sz val="11"/>
        <color theme="1"/>
        <rFont val="Calibri"/>
        <family val="2"/>
        <scheme val="minor"/>
      </rPr>
      <t>CONDICIONAL:</t>
    </r>
    <r>
      <rPr>
        <sz val="11"/>
        <color theme="1"/>
        <rFont val="Calibri"/>
        <family val="2"/>
        <scheme val="minor"/>
      </rPr>
      <t xml:space="preserve">
* 005 - Edad Gestacional embarazo (en Semanas)
</t>
    </r>
    <r>
      <rPr>
        <b/>
        <sz val="11"/>
        <color theme="1"/>
        <rFont val="Calibri"/>
        <family val="2"/>
        <scheme val="minor"/>
      </rPr>
      <t>OBLIGATORIO:</t>
    </r>
    <r>
      <rPr>
        <sz val="11"/>
        <color theme="1"/>
        <rFont val="Calibri"/>
        <family val="2"/>
        <scheme val="minor"/>
      </rPr>
      <t xml:space="preserve">
* 003 - Peso 
* 004 - Talla 
* 014 - IMC 
* 015 - PAB 
* 301 - P.A(mmHg)
* 401 - Evaluación Integral de Salud del joven o adulto anual (Eval. Joven y Adulto)
</t>
    </r>
  </si>
  <si>
    <r>
      <rPr>
        <b/>
        <sz val="11"/>
        <color theme="1"/>
        <rFont val="Calibri"/>
        <family val="2"/>
        <scheme val="minor"/>
      </rPr>
      <t xml:space="preserve">OBLIGATORIO: </t>
    </r>
    <r>
      <rPr>
        <sz val="11"/>
        <color theme="1"/>
        <rFont val="Calibri"/>
        <family val="2"/>
        <scheme val="minor"/>
      </rPr>
      <t xml:space="preserve">
* 82947 - Glucosa Basal  (Colocar Resultado Númerico)                                                                                                          
* 82465 - Colesterol Total (Colocar Resultado (Normal ó Patologico                                    
* 84478 - Trigliceridos ( Colocar Resultado Valor)
* 85018 - Dosaje de Hemoglobina 
* 87340 HEPATITIS B
</t>
    </r>
    <r>
      <rPr>
        <b/>
        <sz val="11"/>
        <color theme="1"/>
        <rFont val="Calibri"/>
        <family val="2"/>
        <scheme val="minor"/>
      </rPr>
      <t>OJO TAMBEIN PUEDE IR ANEXADO CON LA PRESTACON 071 EXAMENES DE LABORATORIO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</si>
</sst>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2"/>
      <color theme="1"/>
      <name val="Calibri"/>
      <family val="2"/>
      <scheme val="minor"/>
    </font>
    <font>
      <b/>
      <sz val="12"/>
      <color theme="1"/>
      <name val="Calibri"/>
      <family val="2"/>
      <scheme val="minor"/>
    </font>
    <font>
      <u/>
      <sz val="11"/>
      <color theme="1"/>
      <name val="Calibri"/>
      <family val="2"/>
      <scheme val="minor"/>
    </font>
    <font>
      <sz val="11"/>
      <color rgb="FF7030A0"/>
      <name val="Calibri"/>
      <family val="2"/>
      <scheme val="minor"/>
    </font>
    <font>
      <b/>
      <sz val="11"/>
      <color rgb="FF7030A0"/>
      <name val="Calibri"/>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49" fontId="0" fillId="0" borderId="0" xfId="0" applyNumberFormat="1"/>
    <xf numFmtId="0" fontId="0" fillId="0" borderId="0" xfId="0" applyAlignment="1">
      <alignment vertical="top"/>
    </xf>
    <xf numFmtId="0" fontId="0" fillId="2" borderId="0" xfId="0" applyFill="1" applyAlignment="1">
      <alignment vertical="top"/>
    </xf>
    <xf numFmtId="0" fontId="0" fillId="4" borderId="1" xfId="0" applyFill="1" applyBorder="1" applyAlignment="1">
      <alignment vertical="top"/>
    </xf>
    <xf numFmtId="49" fontId="0" fillId="4" borderId="1" xfId="0" applyNumberFormat="1" applyFill="1" applyBorder="1" applyAlignment="1">
      <alignment vertical="top"/>
    </xf>
    <xf numFmtId="0" fontId="0" fillId="3" borderId="1" xfId="0" applyFill="1" applyBorder="1" applyAlignment="1">
      <alignment vertical="top"/>
    </xf>
    <xf numFmtId="49" fontId="0" fillId="3" borderId="1" xfId="0" applyNumberFormat="1" applyFill="1" applyBorder="1" applyAlignment="1">
      <alignment vertical="top"/>
    </xf>
    <xf numFmtId="0" fontId="0" fillId="5" borderId="0" xfId="0" applyFill="1"/>
    <xf numFmtId="0" fontId="0" fillId="3" borderId="0" xfId="0" applyFill="1" applyAlignment="1">
      <alignment vertical="top"/>
    </xf>
    <xf numFmtId="0" fontId="0" fillId="6" borderId="0" xfId="0" applyFill="1" applyAlignment="1">
      <alignment vertical="top"/>
    </xf>
    <xf numFmtId="0" fontId="0" fillId="0" borderId="0" xfId="0" applyAlignment="1">
      <alignment vertical="top" wrapText="1"/>
    </xf>
    <xf numFmtId="0" fontId="0" fillId="4" borderId="0" xfId="0" applyFill="1" applyAlignment="1">
      <alignment vertical="top" wrapText="1"/>
    </xf>
    <xf numFmtId="0" fontId="1" fillId="0" borderId="0" xfId="0" applyFont="1" applyAlignment="1">
      <alignment vertical="top"/>
    </xf>
    <xf numFmtId="0" fontId="1" fillId="0" borderId="0" xfId="0" applyFont="1" applyAlignment="1">
      <alignment horizontal="center" vertical="top"/>
    </xf>
    <xf numFmtId="0" fontId="1" fillId="3" borderId="0" xfId="0" applyFont="1" applyFill="1" applyAlignment="1">
      <alignment vertical="top"/>
    </xf>
    <xf numFmtId="0" fontId="0" fillId="4" borderId="1" xfId="0" applyFill="1" applyBorder="1" applyAlignment="1">
      <alignment vertical="top" wrapText="1"/>
    </xf>
    <xf numFmtId="0" fontId="0" fillId="7" borderId="0" xfId="0" applyFill="1" applyAlignment="1">
      <alignment vertical="top" wrapText="1"/>
    </xf>
    <xf numFmtId="0" fontId="3" fillId="4" borderId="1" xfId="0" applyFont="1" applyFill="1" applyBorder="1" applyAlignment="1">
      <alignment vertical="top" wrapText="1"/>
    </xf>
    <xf numFmtId="0" fontId="4" fillId="0" borderId="0" xfId="0" applyFont="1" applyAlignment="1">
      <alignment vertical="top" wrapText="1"/>
    </xf>
    <xf numFmtId="0" fontId="0" fillId="7" borderId="1" xfId="0" applyFill="1" applyBorder="1" applyAlignment="1">
      <alignment vertical="top" wrapText="1"/>
    </xf>
    <xf numFmtId="0" fontId="0" fillId="0" borderId="1" xfId="0" applyBorder="1" applyAlignment="1">
      <alignment vertical="top" wrapText="1"/>
    </xf>
    <xf numFmtId="0" fontId="1" fillId="0" borderId="0" xfId="0" applyFont="1" applyAlignment="1">
      <alignment vertical="top" wrapText="1"/>
    </xf>
    <xf numFmtId="0" fontId="0" fillId="0" borderId="0" xfId="0" applyAlignment="1">
      <alignment wrapText="1"/>
    </xf>
    <xf numFmtId="0" fontId="6" fillId="0" borderId="0" xfId="0" applyFont="1" applyAlignment="1">
      <alignment vertical="top"/>
    </xf>
    <xf numFmtId="0" fontId="7" fillId="4" borderId="1" xfId="0" applyFont="1" applyFill="1" applyBorder="1" applyAlignment="1">
      <alignment vertical="top"/>
    </xf>
    <xf numFmtId="49" fontId="7" fillId="4" borderId="1" xfId="0" applyNumberFormat="1" applyFont="1" applyFill="1" applyBorder="1" applyAlignment="1">
      <alignment vertical="top"/>
    </xf>
    <xf numFmtId="0" fontId="7" fillId="4" borderId="0" xfId="0" applyFont="1" applyFill="1" applyAlignment="1">
      <alignment vertical="top" wrapText="1"/>
    </xf>
    <xf numFmtId="0" fontId="7" fillId="4" borderId="1" xfId="0" applyFont="1" applyFill="1" applyBorder="1" applyAlignment="1">
      <alignment vertical="top" wrapText="1"/>
    </xf>
    <xf numFmtId="0" fontId="7" fillId="7" borderId="0" xfId="0" applyFont="1" applyFill="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52"/>
  <sheetViews>
    <sheetView tabSelected="1" zoomScale="70" zoomScaleNormal="70" workbookViewId="0">
      <pane xSplit="2" ySplit="1" topLeftCell="I40" activePane="bottomRight" state="frozenSplit"/>
      <selection pane="topRight" activeCell="H1" sqref="H1"/>
      <selection pane="bottomLeft" activeCell="A23" sqref="A23"/>
      <selection pane="bottomRight" activeCell="M41" sqref="M41"/>
    </sheetView>
  </sheetViews>
  <sheetFormatPr baseColWidth="10" defaultColWidth="12.42578125" defaultRowHeight="15" x14ac:dyDescent="0.25"/>
  <cols>
    <col min="1" max="1" width="14.7109375" style="2" customWidth="1"/>
    <col min="2" max="2" width="12.42578125" style="2"/>
    <col min="3" max="3" width="88.5703125" style="3" customWidth="1"/>
    <col min="4" max="4" width="12.42578125" style="3"/>
    <col min="5" max="5" width="19.7109375" style="3" bestFit="1" customWidth="1"/>
    <col min="6" max="6" width="32.42578125" style="3" customWidth="1"/>
    <col min="7" max="7" width="29.42578125" style="2" customWidth="1"/>
    <col min="8" max="8" width="29.7109375" style="2" bestFit="1" customWidth="1"/>
    <col min="9" max="9" width="41.28515625" style="2" bestFit="1" customWidth="1"/>
    <col min="10" max="10" width="16.140625" style="2" customWidth="1"/>
    <col min="11" max="11" width="24.42578125" style="2" customWidth="1"/>
    <col min="12" max="12" width="87" style="2" customWidth="1"/>
    <col min="13" max="13" width="66.85546875" style="2" customWidth="1"/>
    <col min="14" max="14" width="40.28515625" style="2" customWidth="1"/>
    <col min="15" max="16384" width="12.42578125" style="2"/>
  </cols>
  <sheetData>
    <row r="1" spans="1:14" ht="30.75" customHeight="1" x14ac:dyDescent="0.25">
      <c r="A1" s="10" t="s">
        <v>180</v>
      </c>
      <c r="B1" s="9" t="s">
        <v>362</v>
      </c>
      <c r="C1" s="10" t="s">
        <v>361</v>
      </c>
      <c r="D1" s="10" t="s">
        <v>360</v>
      </c>
      <c r="E1" s="13" t="s">
        <v>359</v>
      </c>
      <c r="F1" s="13" t="s">
        <v>364</v>
      </c>
      <c r="G1" s="13" t="s">
        <v>426</v>
      </c>
      <c r="H1" s="13" t="s">
        <v>427</v>
      </c>
      <c r="I1" s="15" t="s">
        <v>428</v>
      </c>
      <c r="J1" s="13" t="s">
        <v>429</v>
      </c>
      <c r="K1" s="13" t="s">
        <v>430</v>
      </c>
      <c r="L1" s="14" t="s">
        <v>431</v>
      </c>
      <c r="M1" s="13" t="s">
        <v>432</v>
      </c>
      <c r="N1" s="13" t="s">
        <v>433</v>
      </c>
    </row>
    <row r="2" spans="1:14" ht="195" x14ac:dyDescent="0.25">
      <c r="A2" s="4" t="s">
        <v>373</v>
      </c>
      <c r="B2" s="5" t="s">
        <v>195</v>
      </c>
      <c r="C2" s="4" t="str">
        <f>VLOOKUP(B2,SER!A:C,2,FALSE)</f>
        <v>Atención Integral del adolescente</v>
      </c>
      <c r="D2" s="4" t="str">
        <f>VLOOKUP(B2,SER!A:C,3,FALSE)</f>
        <v>Preventivo</v>
      </c>
      <c r="E2" s="12" t="s">
        <v>372</v>
      </c>
      <c r="F2" s="16" t="s">
        <v>551</v>
      </c>
      <c r="G2" s="20" t="s">
        <v>447</v>
      </c>
      <c r="H2" s="21" t="s">
        <v>609</v>
      </c>
      <c r="I2" s="11" t="s">
        <v>660</v>
      </c>
      <c r="J2" s="11"/>
      <c r="K2" s="11" t="s">
        <v>448</v>
      </c>
      <c r="L2" s="11" t="s">
        <v>515</v>
      </c>
      <c r="M2" s="11" t="s">
        <v>661</v>
      </c>
      <c r="N2" s="22" t="s">
        <v>571</v>
      </c>
    </row>
    <row r="3" spans="1:14" ht="210" hidden="1" x14ac:dyDescent="0.25">
      <c r="A3" s="4" t="s">
        <v>434</v>
      </c>
      <c r="B3" s="5" t="s">
        <v>188</v>
      </c>
      <c r="C3" s="4" t="str">
        <f>VLOOKUP(B3,SER!A:C,2,FALSE)</f>
        <v>Atención prenatal</v>
      </c>
      <c r="D3" s="4" t="str">
        <f>VLOOKUP(B3,SER!A:C,3,FALSE)</f>
        <v>Preventivo</v>
      </c>
      <c r="E3" s="12" t="s">
        <v>367</v>
      </c>
      <c r="F3" s="16" t="s">
        <v>370</v>
      </c>
      <c r="G3" s="20" t="s">
        <v>438</v>
      </c>
      <c r="H3" s="21" t="s">
        <v>371</v>
      </c>
      <c r="I3" s="11" t="s">
        <v>646</v>
      </c>
      <c r="J3" s="11"/>
      <c r="K3" s="11" t="s">
        <v>439</v>
      </c>
      <c r="L3" s="11" t="s">
        <v>507</v>
      </c>
      <c r="M3" s="11" t="s">
        <v>645</v>
      </c>
      <c r="N3" s="11" t="s">
        <v>572</v>
      </c>
    </row>
    <row r="4" spans="1:14" ht="157.5" customHeight="1" x14ac:dyDescent="0.25">
      <c r="A4" s="4" t="s">
        <v>420</v>
      </c>
      <c r="B4" s="5" t="s">
        <v>347</v>
      </c>
      <c r="C4" s="4" t="str">
        <f>VLOOKUP(B4,SER!A:C,2,FALSE)</f>
        <v xml:space="preserve">Atención Integral de Salud del Joven y  Adulto </v>
      </c>
      <c r="D4" s="4" t="str">
        <f>VLOOKUP(B4,SER!A:C,3,FALSE)</f>
        <v>Preventivo</v>
      </c>
      <c r="E4" s="12" t="s">
        <v>372</v>
      </c>
      <c r="F4" s="16" t="s">
        <v>374</v>
      </c>
      <c r="G4" s="20" t="s">
        <v>565</v>
      </c>
      <c r="H4" s="21" t="s">
        <v>358</v>
      </c>
      <c r="I4" s="11" t="s">
        <v>662</v>
      </c>
      <c r="J4" s="11" t="s">
        <v>375</v>
      </c>
      <c r="K4" s="11" t="s">
        <v>479</v>
      </c>
      <c r="L4" s="11" t="s">
        <v>639</v>
      </c>
      <c r="M4" s="11" t="s">
        <v>663</v>
      </c>
      <c r="N4" s="11"/>
    </row>
    <row r="5" spans="1:14" ht="153" hidden="1" customHeight="1" x14ac:dyDescent="0.25">
      <c r="A5" s="4" t="s">
        <v>369</v>
      </c>
      <c r="B5" s="5" t="s">
        <v>249</v>
      </c>
      <c r="C5" s="4" t="str">
        <f>VLOOKUP(B5,SER!A:C,2,FALSE)</f>
        <v>Control de crecimiento y desarrollo en menores de 10 - 12 años</v>
      </c>
      <c r="D5" s="4" t="str">
        <f>VLOOKUP(B5,SER!A:C,3,FALSE)</f>
        <v>Preventivo</v>
      </c>
      <c r="E5" s="12" t="s">
        <v>377</v>
      </c>
      <c r="F5" s="16" t="s">
        <v>376</v>
      </c>
      <c r="G5" s="20" t="s">
        <v>378</v>
      </c>
      <c r="H5" s="21" t="s">
        <v>601</v>
      </c>
      <c r="I5" s="11" t="s">
        <v>647</v>
      </c>
      <c r="J5" s="11"/>
      <c r="K5" s="11" t="s">
        <v>379</v>
      </c>
      <c r="L5" s="11" t="s">
        <v>514</v>
      </c>
      <c r="M5" s="11" t="s">
        <v>648</v>
      </c>
      <c r="N5" s="11"/>
    </row>
    <row r="6" spans="1:14" ht="286.5" hidden="1" customHeight="1" x14ac:dyDescent="0.25">
      <c r="A6" s="4" t="s">
        <v>366</v>
      </c>
      <c r="B6" s="5" t="s">
        <v>181</v>
      </c>
      <c r="C6" s="4" t="str">
        <f>VLOOKUP(B6,SER!A:C,2,FALSE)</f>
        <v>Control de crecimiento y desarrollo en menores de 0 - 4 años</v>
      </c>
      <c r="D6" s="4" t="str">
        <f>VLOOKUP(B6,SER!A:C,3,FALSE)</f>
        <v>Preventivo</v>
      </c>
      <c r="E6" s="12" t="s">
        <v>377</v>
      </c>
      <c r="F6" s="16" t="s">
        <v>365</v>
      </c>
      <c r="G6" s="11" t="s">
        <v>563</v>
      </c>
      <c r="H6" s="11" t="s">
        <v>358</v>
      </c>
      <c r="I6" s="11" t="s">
        <v>649</v>
      </c>
      <c r="J6" s="11"/>
      <c r="K6" s="11" t="s">
        <v>554</v>
      </c>
      <c r="L6" s="11" t="s">
        <v>583</v>
      </c>
      <c r="M6" s="11" t="s">
        <v>650</v>
      </c>
      <c r="N6" s="2" t="s">
        <v>632</v>
      </c>
    </row>
    <row r="7" spans="1:14" ht="75.75" hidden="1" customHeight="1" x14ac:dyDescent="0.25">
      <c r="A7" s="4" t="s">
        <v>355</v>
      </c>
      <c r="B7" s="5" t="s">
        <v>182</v>
      </c>
      <c r="C7" s="4" t="str">
        <f>VLOOKUP(B7,SER!A:C,2,FALSE)</f>
        <v>Control del recién nacido con menos de 2,500 gr, prematuro, con secuelas al nacer</v>
      </c>
      <c r="D7" s="4" t="str">
        <f>VLOOKUP(B7,SER!A:C,3,FALSE)</f>
        <v>Preventivo</v>
      </c>
      <c r="E7" s="12" t="s">
        <v>377</v>
      </c>
      <c r="F7" s="16" t="s">
        <v>488</v>
      </c>
      <c r="G7" s="11" t="s">
        <v>561</v>
      </c>
      <c r="H7" s="11" t="s">
        <v>358</v>
      </c>
      <c r="I7" s="11" t="s">
        <v>651</v>
      </c>
      <c r="J7" s="11"/>
      <c r="K7" s="11" t="s">
        <v>469</v>
      </c>
      <c r="L7" s="11" t="s">
        <v>556</v>
      </c>
      <c r="M7" s="11" t="s">
        <v>499</v>
      </c>
    </row>
    <row r="8" spans="1:14" ht="112.5" hidden="1" customHeight="1" x14ac:dyDescent="0.25">
      <c r="A8" s="4" t="s">
        <v>363</v>
      </c>
      <c r="B8" s="5" t="s">
        <v>181</v>
      </c>
      <c r="C8" s="4" t="str">
        <f>VLOOKUP(B8,SER!A:C,2,FALSE)</f>
        <v>Control de crecimiento y desarrollo en menores de 0 - 4 años</v>
      </c>
      <c r="D8" s="4" t="str">
        <f>VLOOKUP(B8,SER!A:C,3,FALSE)</f>
        <v>Preventivo</v>
      </c>
      <c r="E8" s="12" t="s">
        <v>377</v>
      </c>
      <c r="F8" s="16" t="s">
        <v>365</v>
      </c>
      <c r="G8" s="11" t="s">
        <v>562</v>
      </c>
      <c r="H8" s="11" t="s">
        <v>358</v>
      </c>
      <c r="I8" s="11" t="s">
        <v>630</v>
      </c>
      <c r="J8" s="11"/>
      <c r="K8" s="11"/>
      <c r="L8" s="11" t="s">
        <v>516</v>
      </c>
      <c r="M8" s="11" t="s">
        <v>579</v>
      </c>
      <c r="N8" s="2" t="s">
        <v>632</v>
      </c>
    </row>
    <row r="9" spans="1:14" ht="137.25" hidden="1" customHeight="1" x14ac:dyDescent="0.25">
      <c r="A9" s="4" t="s">
        <v>363</v>
      </c>
      <c r="B9" s="5" t="s">
        <v>182</v>
      </c>
      <c r="C9" s="4" t="str">
        <f>VLOOKUP(B9,SER!A:C,2,FALSE)</f>
        <v>Control del recién nacido con menos de 2,500 gr, prematuro, con secuelas al nacer</v>
      </c>
      <c r="D9" s="4" t="str">
        <f>VLOOKUP(B9,SER!A:C,3,FALSE)</f>
        <v>Preventivo</v>
      </c>
      <c r="E9" s="12" t="s">
        <v>487</v>
      </c>
      <c r="F9" s="16" t="s">
        <v>489</v>
      </c>
      <c r="G9" s="11" t="s">
        <v>564</v>
      </c>
      <c r="H9" s="11" t="s">
        <v>358</v>
      </c>
      <c r="I9" s="11" t="s">
        <v>631</v>
      </c>
      <c r="J9" s="11"/>
      <c r="K9" s="11" t="s">
        <v>435</v>
      </c>
      <c r="L9" s="11" t="s">
        <v>556</v>
      </c>
      <c r="M9" s="11" t="s">
        <v>652</v>
      </c>
    </row>
    <row r="10" spans="1:14" ht="162" hidden="1" customHeight="1" x14ac:dyDescent="0.25">
      <c r="A10" s="4" t="s">
        <v>363</v>
      </c>
      <c r="B10" s="5" t="s">
        <v>194</v>
      </c>
      <c r="C10" s="4" t="str">
        <f>VLOOKUP(B10,SER!A:C,2,FALSE)</f>
        <v>Estimulación temprana para menores de 36 meses</v>
      </c>
      <c r="D10" s="4" t="str">
        <f>VLOOKUP(B10,SER!A:C,3,FALSE)</f>
        <v>Preventivo</v>
      </c>
      <c r="E10" s="12" t="s">
        <v>377</v>
      </c>
      <c r="F10" s="16" t="s">
        <v>380</v>
      </c>
      <c r="G10" s="17" t="s">
        <v>445</v>
      </c>
      <c r="H10" s="11" t="s">
        <v>358</v>
      </c>
      <c r="I10" s="11" t="s">
        <v>582</v>
      </c>
      <c r="J10" s="11"/>
      <c r="K10" s="11" t="s">
        <v>446</v>
      </c>
      <c r="L10" s="11" t="s">
        <v>584</v>
      </c>
      <c r="M10" s="11" t="s">
        <v>585</v>
      </c>
      <c r="N10" s="11"/>
    </row>
    <row r="11" spans="1:14" ht="233.25" hidden="1" customHeight="1" x14ac:dyDescent="0.25">
      <c r="A11" s="25" t="s">
        <v>363</v>
      </c>
      <c r="B11" s="26" t="s">
        <v>186</v>
      </c>
      <c r="C11" s="25" t="str">
        <f>VLOOKUP(B11,SER!A:C,2,FALSE)</f>
        <v xml:space="preserve">Suplemento de micronutrientes </v>
      </c>
      <c r="D11" s="25" t="str">
        <f>VLOOKUP(B11,SER!A:C,3,FALSE)</f>
        <v>Preventivo</v>
      </c>
      <c r="E11" s="27" t="s">
        <v>381</v>
      </c>
      <c r="F11" s="28" t="s">
        <v>376</v>
      </c>
      <c r="G11" s="29" t="s">
        <v>569</v>
      </c>
      <c r="H11" s="30" t="s">
        <v>358</v>
      </c>
      <c r="I11" s="30" t="s">
        <v>653</v>
      </c>
      <c r="J11" s="30" t="s">
        <v>382</v>
      </c>
      <c r="K11" s="30" t="s">
        <v>437</v>
      </c>
      <c r="L11" s="30" t="s">
        <v>634</v>
      </c>
      <c r="M11" s="30" t="s">
        <v>654</v>
      </c>
      <c r="N11" s="30" t="s">
        <v>506</v>
      </c>
    </row>
    <row r="12" spans="1:14" ht="114.75" hidden="1" customHeight="1" x14ac:dyDescent="0.25">
      <c r="A12" s="4" t="s">
        <v>363</v>
      </c>
      <c r="B12" s="5" t="s">
        <v>185</v>
      </c>
      <c r="C12" s="4" t="str">
        <f>VLOOKUP(B12,SER!A:C,2,FALSE)</f>
        <v>Consejería nutricional para niñas o niños en riesgo nutricional y desnutrición</v>
      </c>
      <c r="D12" s="4" t="str">
        <f>VLOOKUP(B12,SER!A:C,3,FALSE)</f>
        <v>Preventivo</v>
      </c>
      <c r="E12" s="12" t="s">
        <v>381</v>
      </c>
      <c r="F12" s="16" t="s">
        <v>383</v>
      </c>
      <c r="G12" s="17" t="s">
        <v>436</v>
      </c>
      <c r="H12" s="11" t="s">
        <v>358</v>
      </c>
      <c r="I12" s="11" t="s">
        <v>655</v>
      </c>
      <c r="J12" s="11"/>
      <c r="K12" s="11" t="s">
        <v>384</v>
      </c>
      <c r="L12" s="11" t="s">
        <v>580</v>
      </c>
      <c r="M12" s="11" t="s">
        <v>581</v>
      </c>
      <c r="N12" s="11"/>
    </row>
    <row r="13" spans="1:14" ht="89.25" hidden="1" customHeight="1" x14ac:dyDescent="0.25">
      <c r="A13" s="4" t="s">
        <v>421</v>
      </c>
      <c r="B13" s="5" t="s">
        <v>187</v>
      </c>
      <c r="C13" s="4" t="str">
        <f>VLOOKUP(B13,SER!A:C,2,FALSE)</f>
        <v>Profilaxis antiparasitaria</v>
      </c>
      <c r="D13" s="4" t="str">
        <f>VLOOKUP(B13,SER!A:C,3,FALSE)</f>
        <v>Preventivo</v>
      </c>
      <c r="E13" s="12" t="s">
        <v>381</v>
      </c>
      <c r="F13" s="16" t="s">
        <v>383</v>
      </c>
      <c r="G13" s="17" t="s">
        <v>640</v>
      </c>
      <c r="H13" s="11" t="s">
        <v>358</v>
      </c>
      <c r="I13" s="11" t="s">
        <v>607</v>
      </c>
      <c r="J13" s="11" t="s">
        <v>382</v>
      </c>
      <c r="K13" s="11" t="s">
        <v>385</v>
      </c>
      <c r="L13" s="11" t="s">
        <v>635</v>
      </c>
      <c r="M13" s="11" t="s">
        <v>605</v>
      </c>
      <c r="N13" s="11" t="s">
        <v>641</v>
      </c>
    </row>
    <row r="14" spans="1:14" ht="100.5" hidden="1" customHeight="1" x14ac:dyDescent="0.25">
      <c r="A14" s="4" t="s">
        <v>420</v>
      </c>
      <c r="B14" s="5" t="s">
        <v>197</v>
      </c>
      <c r="C14" s="4" t="str">
        <f>VLOOKUP(B14,SER!A:C,2,FALSE)</f>
        <v>Detección trastorno agudeza visual y ceguera</v>
      </c>
      <c r="D14" s="4" t="str">
        <f>VLOOKUP(B14,SER!A:C,3,FALSE)</f>
        <v>Preventivo</v>
      </c>
      <c r="E14" s="12" t="s">
        <v>386</v>
      </c>
      <c r="F14" s="16" t="s">
        <v>387</v>
      </c>
      <c r="G14" s="17" t="s">
        <v>451</v>
      </c>
      <c r="H14" s="11" t="s">
        <v>587</v>
      </c>
      <c r="I14" s="11" t="s">
        <v>588</v>
      </c>
      <c r="J14" s="11" t="s">
        <v>388</v>
      </c>
      <c r="K14" s="11" t="s">
        <v>450</v>
      </c>
      <c r="L14" s="11" t="s">
        <v>517</v>
      </c>
      <c r="M14" s="11" t="s">
        <v>611</v>
      </c>
      <c r="N14" s="11"/>
    </row>
    <row r="15" spans="1:14" ht="126.75" hidden="1" customHeight="1" x14ac:dyDescent="0.25">
      <c r="A15" s="4" t="s">
        <v>421</v>
      </c>
      <c r="B15" s="5" t="s">
        <v>198</v>
      </c>
      <c r="C15" s="4" t="str">
        <f>VLOOKUP(B15,SER!A:C,2,FALSE)</f>
        <v>Salud Bucal</v>
      </c>
      <c r="D15" s="4" t="str">
        <f>VLOOKUP(B15,SER!A:C,3,FALSE)</f>
        <v>Preventivo</v>
      </c>
      <c r="E15" s="12" t="s">
        <v>482</v>
      </c>
      <c r="F15" s="16" t="s">
        <v>389</v>
      </c>
      <c r="G15" s="17" t="s">
        <v>451</v>
      </c>
      <c r="H15" s="11" t="s">
        <v>358</v>
      </c>
      <c r="I15" s="11" t="s">
        <v>612</v>
      </c>
      <c r="J15" s="11" t="s">
        <v>388</v>
      </c>
      <c r="K15" s="11" t="s">
        <v>452</v>
      </c>
      <c r="L15" s="11" t="s">
        <v>519</v>
      </c>
      <c r="M15" s="11" t="s">
        <v>509</v>
      </c>
      <c r="N15" s="11"/>
    </row>
    <row r="16" spans="1:14" ht="92.25" hidden="1" customHeight="1" x14ac:dyDescent="0.25">
      <c r="A16" s="4" t="s">
        <v>421</v>
      </c>
      <c r="B16" s="5" t="s">
        <v>199</v>
      </c>
      <c r="C16" s="4" t="str">
        <f>VLOOKUP(B16,SER!A:C,2,FALSE)</f>
        <v>Prevencion de caries</v>
      </c>
      <c r="D16" s="4" t="str">
        <f>VLOOKUP(B16,SER!A:C,3,FALSE)</f>
        <v>Preventivo</v>
      </c>
      <c r="E16" s="12" t="s">
        <v>381</v>
      </c>
      <c r="F16" s="16" t="s">
        <v>389</v>
      </c>
      <c r="G16" s="17" t="s">
        <v>453</v>
      </c>
      <c r="H16" s="11" t="s">
        <v>358</v>
      </c>
      <c r="I16" s="11" t="s">
        <v>613</v>
      </c>
      <c r="J16" s="11" t="s">
        <v>388</v>
      </c>
      <c r="K16" s="11" t="s">
        <v>492</v>
      </c>
      <c r="L16" s="11" t="s">
        <v>518</v>
      </c>
      <c r="M16" s="11" t="s">
        <v>589</v>
      </c>
      <c r="N16" s="11"/>
    </row>
    <row r="17" spans="1:14" ht="124.5" hidden="1" customHeight="1" x14ac:dyDescent="0.25">
      <c r="A17" s="4" t="s">
        <v>421</v>
      </c>
      <c r="B17" s="5" t="s">
        <v>200</v>
      </c>
      <c r="C17" s="4" t="str">
        <f>VLOOKUP(B17,SER!A:C,2,FALSE)</f>
        <v>Detección de problemas en Salud Mental</v>
      </c>
      <c r="D17" s="4" t="str">
        <f>VLOOKUP(B17,SER!A:C,3,FALSE)</f>
        <v>Preventivo</v>
      </c>
      <c r="E17" s="12" t="s">
        <v>381</v>
      </c>
      <c r="F17" s="16" t="s">
        <v>390</v>
      </c>
      <c r="G17" s="17" t="s">
        <v>454</v>
      </c>
      <c r="H17" s="11" t="s">
        <v>358</v>
      </c>
      <c r="I17" s="11" t="s">
        <v>614</v>
      </c>
      <c r="J17" s="11" t="s">
        <v>388</v>
      </c>
      <c r="K17" s="11" t="s">
        <v>555</v>
      </c>
      <c r="L17" s="11" t="s">
        <v>520</v>
      </c>
      <c r="M17" s="11" t="s">
        <v>505</v>
      </c>
      <c r="N17" s="11"/>
    </row>
    <row r="18" spans="1:14" ht="79.5" hidden="1" customHeight="1" x14ac:dyDescent="0.25">
      <c r="A18" s="4" t="s">
        <v>422</v>
      </c>
      <c r="B18" s="5" t="s">
        <v>189</v>
      </c>
      <c r="C18" s="4" t="str">
        <f>VLOOKUP(B18,SER!A:C,2,FALSE)</f>
        <v>Atención del puerperio normal</v>
      </c>
      <c r="D18" s="4" t="str">
        <f>VLOOKUP(B18,SER!A:C,3,FALSE)</f>
        <v>Preventivo</v>
      </c>
      <c r="E18" s="12" t="s">
        <v>391</v>
      </c>
      <c r="F18" s="16" t="s">
        <v>392</v>
      </c>
      <c r="G18" s="17" t="s">
        <v>440</v>
      </c>
      <c r="H18" s="11" t="s">
        <v>606</v>
      </c>
      <c r="I18" s="11" t="s">
        <v>656</v>
      </c>
      <c r="J18" s="11"/>
      <c r="K18" s="11" t="s">
        <v>441</v>
      </c>
      <c r="L18" s="11" t="s">
        <v>521</v>
      </c>
      <c r="M18" s="11" t="s">
        <v>508</v>
      </c>
      <c r="N18" s="11" t="s">
        <v>573</v>
      </c>
    </row>
    <row r="19" spans="1:14" ht="217.5" hidden="1" customHeight="1" x14ac:dyDescent="0.25">
      <c r="A19" s="4" t="s">
        <v>422</v>
      </c>
      <c r="B19" s="5" t="s">
        <v>190</v>
      </c>
      <c r="C19" s="4" t="str">
        <f>VLOOKUP(B19,SER!A:C,2,FALSE)</f>
        <v>Exámenes de laboratorio completo de la gestante</v>
      </c>
      <c r="D19" s="4" t="str">
        <f>VLOOKUP(B19,SER!A:C,3,FALSE)</f>
        <v>Preventivo</v>
      </c>
      <c r="E19" s="12" t="s">
        <v>393</v>
      </c>
      <c r="F19" s="16" t="s">
        <v>486</v>
      </c>
      <c r="G19" s="17" t="s">
        <v>440</v>
      </c>
      <c r="H19" s="11" t="s">
        <v>395</v>
      </c>
      <c r="I19" s="11" t="s">
        <v>490</v>
      </c>
      <c r="J19" s="11" t="s">
        <v>388</v>
      </c>
      <c r="K19" s="11" t="s">
        <v>442</v>
      </c>
      <c r="L19" s="11" t="s">
        <v>522</v>
      </c>
      <c r="M19" s="11" t="s">
        <v>644</v>
      </c>
      <c r="N19" s="11"/>
    </row>
    <row r="20" spans="1:14" ht="119.25" hidden="1" customHeight="1" x14ac:dyDescent="0.25">
      <c r="A20" s="4" t="s">
        <v>423</v>
      </c>
      <c r="B20" s="5" t="s">
        <v>201</v>
      </c>
      <c r="C20" s="4" t="str">
        <f>VLOOKUP(B20,SER!A:C,2,FALSE)</f>
        <v>Deteccion precoz de cancer de prostata (PSA)</v>
      </c>
      <c r="D20" s="4" t="str">
        <f>VLOOKUP(B20,SER!A:C,3,FALSE)</f>
        <v>Preventivo</v>
      </c>
      <c r="E20" s="12" t="s">
        <v>393</v>
      </c>
      <c r="F20" s="16" t="s">
        <v>394</v>
      </c>
      <c r="G20" s="17" t="s">
        <v>566</v>
      </c>
      <c r="H20" s="11" t="s">
        <v>568</v>
      </c>
      <c r="I20" s="11" t="s">
        <v>615</v>
      </c>
      <c r="J20" s="11" t="s">
        <v>397</v>
      </c>
      <c r="K20" s="11" t="s">
        <v>398</v>
      </c>
      <c r="L20" s="11" t="s">
        <v>636</v>
      </c>
      <c r="M20" s="11" t="s">
        <v>633</v>
      </c>
      <c r="N20" s="11"/>
    </row>
    <row r="21" spans="1:14" ht="93" hidden="1" customHeight="1" x14ac:dyDescent="0.25">
      <c r="A21" s="4" t="s">
        <v>422</v>
      </c>
      <c r="B21" s="5" t="s">
        <v>202</v>
      </c>
      <c r="C21" s="4" t="str">
        <f>VLOOKUP(B21,SER!A:C,2,FALSE)</f>
        <v xml:space="preserve">Detección precoz de cáncer cérvico-uterino </v>
      </c>
      <c r="D21" s="4" t="str">
        <f>VLOOKUP(B21,SER!A:C,3,FALSE)</f>
        <v>Preventivo</v>
      </c>
      <c r="E21" s="12" t="s">
        <v>393</v>
      </c>
      <c r="F21" s="16" t="s">
        <v>399</v>
      </c>
      <c r="G21" s="17" t="s">
        <v>557</v>
      </c>
      <c r="H21" s="11" t="s">
        <v>568</v>
      </c>
      <c r="I21" s="11" t="s">
        <v>616</v>
      </c>
      <c r="J21" s="11" t="s">
        <v>397</v>
      </c>
      <c r="K21" s="11" t="s">
        <v>400</v>
      </c>
      <c r="L21" s="11" t="s">
        <v>642</v>
      </c>
      <c r="M21" s="11" t="s">
        <v>558</v>
      </c>
      <c r="N21" s="11" t="s">
        <v>493</v>
      </c>
    </row>
    <row r="22" spans="1:14" ht="172.5" hidden="1" customHeight="1" x14ac:dyDescent="0.25">
      <c r="A22" s="4" t="s">
        <v>366</v>
      </c>
      <c r="B22" s="5" t="s">
        <v>207</v>
      </c>
      <c r="C22" s="4" t="str">
        <f>VLOOKUP(B22,SER!A:C,2,FALSE)</f>
        <v>Tamizaje Neonatal</v>
      </c>
      <c r="D22" s="4" t="str">
        <f>VLOOKUP(B22,SER!A:C,3,FALSE)</f>
        <v>Preventivo</v>
      </c>
      <c r="E22" s="12" t="s">
        <v>393</v>
      </c>
      <c r="F22" s="16" t="s">
        <v>457</v>
      </c>
      <c r="G22" s="17" t="s">
        <v>456</v>
      </c>
      <c r="H22" s="11" t="s">
        <v>396</v>
      </c>
      <c r="I22" s="11"/>
      <c r="J22" s="11"/>
      <c r="K22" s="11"/>
      <c r="L22" s="11" t="s">
        <v>523</v>
      </c>
      <c r="M22" s="11" t="s">
        <v>503</v>
      </c>
      <c r="N22" s="11"/>
    </row>
    <row r="23" spans="1:14" ht="300" hidden="1" customHeight="1" x14ac:dyDescent="0.25">
      <c r="A23" s="4" t="s">
        <v>363</v>
      </c>
      <c r="B23" s="5" t="s">
        <v>208</v>
      </c>
      <c r="C23" s="4" t="str">
        <f>VLOOKUP(B23,SER!A:C,2,FALSE)</f>
        <v>Atención inmediata del recién nacido normal</v>
      </c>
      <c r="D23" s="4" t="str">
        <f>VLOOKUP(B23,SER!A:C,3,FALSE)</f>
        <v>Recuperativo</v>
      </c>
      <c r="E23" s="12" t="s">
        <v>393</v>
      </c>
      <c r="F23" s="16" t="s">
        <v>470</v>
      </c>
      <c r="G23" s="17" t="s">
        <v>458</v>
      </c>
      <c r="H23" s="11" t="s">
        <v>396</v>
      </c>
      <c r="I23" s="11" t="s">
        <v>494</v>
      </c>
      <c r="J23" s="11" t="s">
        <v>401</v>
      </c>
      <c r="K23" s="11" t="s">
        <v>459</v>
      </c>
      <c r="L23" s="11" t="s">
        <v>524</v>
      </c>
      <c r="M23" s="11" t="s">
        <v>560</v>
      </c>
      <c r="N23" s="11" t="s">
        <v>559</v>
      </c>
    </row>
    <row r="24" spans="1:14" ht="96.75" hidden="1" customHeight="1" x14ac:dyDescent="0.25">
      <c r="A24" s="4" t="s">
        <v>422</v>
      </c>
      <c r="B24" s="5" t="s">
        <v>212</v>
      </c>
      <c r="C24" s="4" t="str">
        <f>VLOOKUP(B24,SER!A:C,2,FALSE)</f>
        <v>Atención de parto vaginal</v>
      </c>
      <c r="D24" s="4" t="str">
        <f>VLOOKUP(B24,SER!A:C,3,FALSE)</f>
        <v>Recuperativo</v>
      </c>
      <c r="E24" s="12" t="s">
        <v>393</v>
      </c>
      <c r="F24" s="16" t="s">
        <v>403</v>
      </c>
      <c r="G24" s="17" t="s">
        <v>440</v>
      </c>
      <c r="H24" s="11" t="s">
        <v>396</v>
      </c>
      <c r="I24" s="11" t="s">
        <v>498</v>
      </c>
      <c r="J24" s="11" t="s">
        <v>401</v>
      </c>
      <c r="K24" s="11" t="s">
        <v>404</v>
      </c>
      <c r="L24" s="11" t="s">
        <v>526</v>
      </c>
      <c r="M24" s="11" t="s">
        <v>525</v>
      </c>
      <c r="N24" s="11" t="s">
        <v>527</v>
      </c>
    </row>
    <row r="25" spans="1:14" ht="117.75" hidden="1" customHeight="1" x14ac:dyDescent="0.25">
      <c r="A25" s="4" t="s">
        <v>421</v>
      </c>
      <c r="B25" s="5" t="s">
        <v>214</v>
      </c>
      <c r="C25" s="4" t="str">
        <f>VLOOKUP(B25,SER!A:C,2,FALSE)</f>
        <v>Consulta externa</v>
      </c>
      <c r="D25" s="4" t="str">
        <f>VLOOKUP(B25,SER!A:C,3,FALSE)</f>
        <v>Recuperativo</v>
      </c>
      <c r="E25" s="12" t="s">
        <v>393</v>
      </c>
      <c r="F25" s="16" t="s">
        <v>471</v>
      </c>
      <c r="G25" s="17" t="s">
        <v>451</v>
      </c>
      <c r="H25" s="11" t="s">
        <v>396</v>
      </c>
      <c r="I25" s="11" t="s">
        <v>617</v>
      </c>
      <c r="J25" s="11" t="s">
        <v>401</v>
      </c>
      <c r="K25" s="11"/>
      <c r="L25" s="11" t="s">
        <v>618</v>
      </c>
      <c r="M25" s="11" t="s">
        <v>495</v>
      </c>
      <c r="N25" s="11" t="s">
        <v>590</v>
      </c>
    </row>
    <row r="26" spans="1:14" ht="109.5" hidden="1" customHeight="1" x14ac:dyDescent="0.25">
      <c r="A26" s="4" t="s">
        <v>421</v>
      </c>
      <c r="B26" s="5" t="s">
        <v>216</v>
      </c>
      <c r="C26" s="4" t="str">
        <f>VLOOKUP(B26,SER!A:C,2,FALSE)</f>
        <v>Obturación y curación dental compuesta</v>
      </c>
      <c r="D26" s="4" t="str">
        <f>VLOOKUP(B26,SER!A:C,3,FALSE)</f>
        <v>Recuperativo</v>
      </c>
      <c r="E26" s="12" t="s">
        <v>393</v>
      </c>
      <c r="F26" s="16" t="s">
        <v>405</v>
      </c>
      <c r="G26" s="17" t="s">
        <v>451</v>
      </c>
      <c r="H26" s="11" t="s">
        <v>396</v>
      </c>
      <c r="I26" s="11" t="s">
        <v>406</v>
      </c>
      <c r="J26" s="11" t="s">
        <v>397</v>
      </c>
      <c r="K26" s="11"/>
      <c r="L26" s="11" t="s">
        <v>528</v>
      </c>
      <c r="M26" s="11" t="s">
        <v>591</v>
      </c>
      <c r="N26" s="11" t="s">
        <v>472</v>
      </c>
    </row>
    <row r="27" spans="1:14" ht="92.25" hidden="1" customHeight="1" x14ac:dyDescent="0.25">
      <c r="A27" s="4" t="s">
        <v>421</v>
      </c>
      <c r="B27" s="5" t="s">
        <v>217</v>
      </c>
      <c r="C27" s="4" t="str">
        <f>VLOOKUP(B27,SER!A:C,2,FALSE)</f>
        <v>Extracción dental (exodoncia)</v>
      </c>
      <c r="D27" s="4" t="str">
        <f>VLOOKUP(B27,SER!A:C,3,FALSE)</f>
        <v>Recuperativo</v>
      </c>
      <c r="E27" s="12" t="s">
        <v>393</v>
      </c>
      <c r="F27" s="16" t="s">
        <v>405</v>
      </c>
      <c r="G27" s="17" t="s">
        <v>451</v>
      </c>
      <c r="H27" s="11" t="s">
        <v>396</v>
      </c>
      <c r="I27" s="11" t="s">
        <v>406</v>
      </c>
      <c r="J27" s="11" t="s">
        <v>401</v>
      </c>
      <c r="K27" s="11"/>
      <c r="L27" s="11" t="s">
        <v>529</v>
      </c>
      <c r="M27" s="11" t="s">
        <v>593</v>
      </c>
      <c r="N27" s="11" t="s">
        <v>594</v>
      </c>
    </row>
    <row r="28" spans="1:14" ht="105.75" hidden="1" customHeight="1" x14ac:dyDescent="0.25">
      <c r="A28" s="4" t="s">
        <v>421</v>
      </c>
      <c r="B28" s="5" t="s">
        <v>215</v>
      </c>
      <c r="C28" s="4" t="str">
        <f>VLOOKUP(B28,SER!A:C,2,FALSE)</f>
        <v>Obturación y curación dental simple</v>
      </c>
      <c r="D28" s="4" t="str">
        <f>VLOOKUP(B28,SER!A:C,3,FALSE)</f>
        <v>Recuperativo</v>
      </c>
      <c r="E28" s="12" t="s">
        <v>393</v>
      </c>
      <c r="F28" s="16" t="s">
        <v>405</v>
      </c>
      <c r="G28" s="17" t="s">
        <v>451</v>
      </c>
      <c r="H28" s="11" t="s">
        <v>396</v>
      </c>
      <c r="I28" s="11" t="s">
        <v>406</v>
      </c>
      <c r="J28" s="11" t="s">
        <v>401</v>
      </c>
      <c r="K28" s="11"/>
      <c r="L28" s="11" t="s">
        <v>530</v>
      </c>
      <c r="M28" s="11" t="s">
        <v>592</v>
      </c>
      <c r="N28" s="11"/>
    </row>
    <row r="29" spans="1:14" ht="124.5" hidden="1" customHeight="1" x14ac:dyDescent="0.25">
      <c r="A29" s="4" t="s">
        <v>421</v>
      </c>
      <c r="B29" s="5" t="s">
        <v>218</v>
      </c>
      <c r="C29" s="4" t="str">
        <f>VLOOKUP(B29,SER!A:C,2,FALSE)</f>
        <v>Atención extramural urbana y perurbana (Visita domiciliaria)</v>
      </c>
      <c r="D29" s="4" t="str">
        <f>VLOOKUP(B29,SER!A:C,3,FALSE)</f>
        <v>Recuperativo</v>
      </c>
      <c r="E29" s="12" t="s">
        <v>417</v>
      </c>
      <c r="F29" s="18" t="s">
        <v>410</v>
      </c>
      <c r="G29" s="17" t="s">
        <v>451</v>
      </c>
      <c r="H29" s="11"/>
      <c r="I29" s="11" t="s">
        <v>619</v>
      </c>
      <c r="J29" s="11"/>
      <c r="K29" s="11" t="s">
        <v>407</v>
      </c>
      <c r="L29" s="19" t="s">
        <v>620</v>
      </c>
      <c r="M29" s="11" t="s">
        <v>595</v>
      </c>
      <c r="N29" s="11"/>
    </row>
    <row r="30" spans="1:14" ht="144.75" hidden="1" customHeight="1" x14ac:dyDescent="0.25">
      <c r="A30" s="4" t="s">
        <v>421</v>
      </c>
      <c r="B30" s="5" t="s">
        <v>219</v>
      </c>
      <c r="C30" s="4" t="str">
        <f>VLOOKUP(B30,SER!A:C,2,FALSE)</f>
        <v>Atención en tópico</v>
      </c>
      <c r="D30" s="4" t="str">
        <f>VLOOKUP(B30,SER!A:C,3,FALSE)</f>
        <v>Recuperativo</v>
      </c>
      <c r="E30" s="12" t="s">
        <v>393</v>
      </c>
      <c r="F30" s="18" t="s">
        <v>473</v>
      </c>
      <c r="G30" s="17" t="s">
        <v>451</v>
      </c>
      <c r="H30" s="11" t="s">
        <v>396</v>
      </c>
      <c r="I30" s="11" t="s">
        <v>621</v>
      </c>
      <c r="J30" s="11"/>
      <c r="K30" s="11"/>
      <c r="L30" s="11" t="s">
        <v>596</v>
      </c>
      <c r="M30" s="11" t="s">
        <v>504</v>
      </c>
      <c r="N30" s="11" t="s">
        <v>474</v>
      </c>
    </row>
    <row r="31" spans="1:14" ht="175.5" hidden="1" customHeight="1" x14ac:dyDescent="0.25">
      <c r="A31" s="4" t="s">
        <v>421</v>
      </c>
      <c r="B31" s="5" t="s">
        <v>220</v>
      </c>
      <c r="C31" s="4" t="str">
        <f>VLOOKUP(B31,SER!A:C,2,FALSE)</f>
        <v>Atención por emergencia</v>
      </c>
      <c r="D31" s="4" t="str">
        <f>VLOOKUP(B31,SER!A:C,3,FALSE)</f>
        <v>Recuperativo</v>
      </c>
      <c r="E31" s="12" t="s">
        <v>597</v>
      </c>
      <c r="F31" s="18" t="s">
        <v>408</v>
      </c>
      <c r="G31" s="17" t="s">
        <v>451</v>
      </c>
      <c r="H31" s="11" t="s">
        <v>396</v>
      </c>
      <c r="I31" s="11" t="s">
        <v>622</v>
      </c>
      <c r="J31" s="11" t="s">
        <v>401</v>
      </c>
      <c r="K31" s="11"/>
      <c r="L31" s="11"/>
      <c r="M31" s="11" t="s">
        <v>510</v>
      </c>
      <c r="N31" s="11"/>
    </row>
    <row r="32" spans="1:14" ht="150" hidden="1" customHeight="1" x14ac:dyDescent="0.25">
      <c r="A32" s="4" t="s">
        <v>421</v>
      </c>
      <c r="B32" s="5" t="s">
        <v>221</v>
      </c>
      <c r="C32" s="4" t="str">
        <f>VLOOKUP(B32,SER!A:C,2,FALSE)</f>
        <v>Atención por emergencia con observación</v>
      </c>
      <c r="D32" s="4" t="str">
        <f>VLOOKUP(B32,SER!A:C,3,FALSE)</f>
        <v>Recuperativo</v>
      </c>
      <c r="E32" s="12" t="s">
        <v>393</v>
      </c>
      <c r="F32" s="18" t="s">
        <v>475</v>
      </c>
      <c r="G32" s="17" t="s">
        <v>451</v>
      </c>
      <c r="H32" s="11" t="s">
        <v>396</v>
      </c>
      <c r="I32" s="11" t="s">
        <v>476</v>
      </c>
      <c r="J32" s="11" t="s">
        <v>401</v>
      </c>
      <c r="K32" s="11"/>
      <c r="L32" s="11"/>
      <c r="M32" s="11" t="s">
        <v>531</v>
      </c>
      <c r="N32" s="11"/>
    </row>
    <row r="33" spans="1:14" ht="147" hidden="1" customHeight="1" x14ac:dyDescent="0.25">
      <c r="A33" s="4" t="s">
        <v>421</v>
      </c>
      <c r="B33" s="5" t="s">
        <v>223</v>
      </c>
      <c r="C33" s="4" t="str">
        <f>VLOOKUP(B33,SER!A:C,2,FALSE)</f>
        <v>Internamiento en EESS sin intervención quirúrgica</v>
      </c>
      <c r="D33" s="4" t="str">
        <f>VLOOKUP(B33,SER!A:C,3,FALSE)</f>
        <v>Recuperativo</v>
      </c>
      <c r="E33" s="12" t="s">
        <v>393</v>
      </c>
      <c r="F33" s="18" t="s">
        <v>409</v>
      </c>
      <c r="G33" s="17" t="s">
        <v>460</v>
      </c>
      <c r="H33" s="11" t="s">
        <v>396</v>
      </c>
      <c r="I33" s="11" t="s">
        <v>511</v>
      </c>
      <c r="J33" s="11" t="s">
        <v>401</v>
      </c>
      <c r="K33" s="11"/>
      <c r="L33" s="11" t="s">
        <v>512</v>
      </c>
      <c r="M33" s="11" t="s">
        <v>513</v>
      </c>
      <c r="N33" s="11"/>
    </row>
    <row r="34" spans="1:14" ht="304.5" hidden="1" customHeight="1" x14ac:dyDescent="0.25">
      <c r="A34" s="4" t="s">
        <v>421</v>
      </c>
      <c r="B34" s="5" t="s">
        <v>229</v>
      </c>
      <c r="C34" s="4" t="str">
        <f>VLOOKUP(B34,SER!A:C,2,FALSE)</f>
        <v>Apoyo al diagnóstico</v>
      </c>
      <c r="D34" s="4" t="str">
        <f>VLOOKUP(B34,SER!A:C,3,FALSE)</f>
        <v>Recuperativo</v>
      </c>
      <c r="E34" s="12" t="s">
        <v>393</v>
      </c>
      <c r="F34" s="18" t="s">
        <v>477</v>
      </c>
      <c r="G34" s="17" t="s">
        <v>451</v>
      </c>
      <c r="H34" s="11" t="s">
        <v>624</v>
      </c>
      <c r="I34" s="11" t="s">
        <v>623</v>
      </c>
      <c r="J34" s="11" t="s">
        <v>397</v>
      </c>
      <c r="K34" s="11"/>
      <c r="L34" s="11" t="s">
        <v>598</v>
      </c>
      <c r="M34" s="11" t="s">
        <v>532</v>
      </c>
      <c r="N34" s="11"/>
    </row>
    <row r="35" spans="1:14" ht="177.75" hidden="1" customHeight="1" x14ac:dyDescent="0.25">
      <c r="A35" s="4" t="s">
        <v>421</v>
      </c>
      <c r="B35" s="5" t="s">
        <v>231</v>
      </c>
      <c r="C35" s="4" t="str">
        <f>VLOOKUP(B35,SER!A:C,2,FALSE)</f>
        <v>Tratamiento de ITS en adolescentes, adultos y adultos mayores</v>
      </c>
      <c r="D35" s="4" t="str">
        <f>VLOOKUP(B35,SER!A:C,3,FALSE)</f>
        <v>Recuperativo</v>
      </c>
      <c r="E35" s="12" t="s">
        <v>393</v>
      </c>
      <c r="F35" s="18" t="s">
        <v>550</v>
      </c>
      <c r="G35" s="17" t="s">
        <v>461</v>
      </c>
      <c r="H35" s="11" t="s">
        <v>396</v>
      </c>
      <c r="I35" s="11" t="s">
        <v>625</v>
      </c>
      <c r="J35" s="11" t="s">
        <v>402</v>
      </c>
      <c r="K35" s="11"/>
      <c r="L35" s="11" t="s">
        <v>534</v>
      </c>
      <c r="M35" s="11" t="s">
        <v>533</v>
      </c>
      <c r="N35" s="11"/>
    </row>
    <row r="36" spans="1:14" ht="142.5" hidden="1" customHeight="1" x14ac:dyDescent="0.25">
      <c r="A36" s="4" t="s">
        <v>421</v>
      </c>
      <c r="B36" s="5" t="s">
        <v>232</v>
      </c>
      <c r="C36" s="4" t="str">
        <f>VLOOKUP(B36,SER!A:C,2,FALSE)</f>
        <v>Atención extramural rural (Visita domiciliaria)</v>
      </c>
      <c r="D36" s="4" t="str">
        <f>VLOOKUP(B36,SER!A:C,3,FALSE)</f>
        <v>Recuperativo</v>
      </c>
      <c r="E36" s="12" t="s">
        <v>417</v>
      </c>
      <c r="F36" s="18" t="s">
        <v>410</v>
      </c>
      <c r="G36" s="17" t="s">
        <v>451</v>
      </c>
      <c r="H36" s="11"/>
      <c r="I36" s="11" t="s">
        <v>626</v>
      </c>
      <c r="J36" s="11"/>
      <c r="K36" s="11" t="s">
        <v>462</v>
      </c>
      <c r="L36" s="11" t="s">
        <v>627</v>
      </c>
      <c r="M36" s="11" t="s">
        <v>599</v>
      </c>
      <c r="N36" s="11"/>
    </row>
    <row r="37" spans="1:14" ht="143.25" hidden="1" customHeight="1" x14ac:dyDescent="0.25">
      <c r="A37" s="4" t="s">
        <v>363</v>
      </c>
      <c r="B37" s="5" t="s">
        <v>248</v>
      </c>
      <c r="C37" s="4" t="str">
        <f>VLOOKUP(B37,SER!A:C,2,FALSE)</f>
        <v>Control de crecimiento y desarrollo en menores de 5 - 9 años</v>
      </c>
      <c r="D37" s="4" t="str">
        <f>VLOOKUP(B37,SER!A:C,3,FALSE)</f>
        <v>Preventivo</v>
      </c>
      <c r="E37" s="12" t="s">
        <v>393</v>
      </c>
      <c r="F37" s="18" t="s">
        <v>478</v>
      </c>
      <c r="G37" s="17" t="s">
        <v>463</v>
      </c>
      <c r="H37" s="11" t="s">
        <v>600</v>
      </c>
      <c r="I37" s="11" t="s">
        <v>657</v>
      </c>
      <c r="J37" s="11"/>
      <c r="K37" s="11" t="s">
        <v>368</v>
      </c>
      <c r="L37" s="11" t="s">
        <v>535</v>
      </c>
      <c r="M37" s="11" t="s">
        <v>658</v>
      </c>
      <c r="N37" s="11" t="s">
        <v>536</v>
      </c>
    </row>
    <row r="38" spans="1:14" ht="180.75" hidden="1" customHeight="1" x14ac:dyDescent="0.25">
      <c r="A38" s="4" t="s">
        <v>363</v>
      </c>
      <c r="B38" s="5" t="s">
        <v>249</v>
      </c>
      <c r="C38" s="4" t="str">
        <f>VLOOKUP(B38,SER!A:C,2,FALSE)</f>
        <v>Control de crecimiento y desarrollo en menores de 10 - 12 años</v>
      </c>
      <c r="D38" s="4" t="str">
        <f>VLOOKUP(B38,SER!A:C,3,FALSE)</f>
        <v>Preventivo</v>
      </c>
      <c r="E38" s="12" t="s">
        <v>393</v>
      </c>
      <c r="F38" s="18" t="s">
        <v>411</v>
      </c>
      <c r="G38" s="17" t="s">
        <v>464</v>
      </c>
      <c r="H38" s="11" t="s">
        <v>602</v>
      </c>
      <c r="I38" s="11" t="s">
        <v>659</v>
      </c>
      <c r="J38" s="11"/>
      <c r="K38" s="11"/>
      <c r="L38" s="11" t="s">
        <v>538</v>
      </c>
      <c r="M38" s="11" t="s">
        <v>537</v>
      </c>
      <c r="N38" s="11"/>
    </row>
    <row r="39" spans="1:14" ht="170.25" customHeight="1" x14ac:dyDescent="0.25">
      <c r="A39" s="4" t="s">
        <v>422</v>
      </c>
      <c r="B39" s="5" t="s">
        <v>345</v>
      </c>
      <c r="C39" s="4" t="str">
        <f>VLOOKUP(B39,SER!A:C,2,FALSE)</f>
        <v>Atención Preconcepcional</v>
      </c>
      <c r="D39" s="4" t="str">
        <f>VLOOKUP(B39,SER!A:C,3,FALSE)</f>
        <v>Preventivo</v>
      </c>
      <c r="E39" s="12" t="s">
        <v>393</v>
      </c>
      <c r="F39" s="18" t="s">
        <v>570</v>
      </c>
      <c r="G39" s="17" t="s">
        <v>465</v>
      </c>
      <c r="H39" s="11" t="s">
        <v>396</v>
      </c>
      <c r="I39" s="11" t="s">
        <v>664</v>
      </c>
      <c r="J39" s="11" t="s">
        <v>401</v>
      </c>
      <c r="K39" s="11" t="s">
        <v>466</v>
      </c>
      <c r="L39" s="11" t="s">
        <v>539</v>
      </c>
      <c r="M39" s="11" t="s">
        <v>665</v>
      </c>
      <c r="N39" s="11" t="s">
        <v>540</v>
      </c>
    </row>
    <row r="40" spans="1:14" ht="189.75" customHeight="1" x14ac:dyDescent="0.25">
      <c r="A40" s="4" t="s">
        <v>424</v>
      </c>
      <c r="B40" s="5" t="s">
        <v>346</v>
      </c>
      <c r="C40" s="4" t="str">
        <f>VLOOKUP(B40,SER!A:C,2,FALSE)</f>
        <v>Atención Integral de Salud del Adulto Mayor</v>
      </c>
      <c r="D40" s="4" t="str">
        <f>VLOOKUP(B40,SER!A:C,3,FALSE)</f>
        <v>Preventivo</v>
      </c>
      <c r="E40" s="12" t="s">
        <v>393</v>
      </c>
      <c r="F40" s="18" t="s">
        <v>414</v>
      </c>
      <c r="G40" s="17" t="s">
        <v>467</v>
      </c>
      <c r="H40" s="11" t="s">
        <v>396</v>
      </c>
      <c r="I40" s="11" t="s">
        <v>666</v>
      </c>
      <c r="J40" s="11" t="s">
        <v>401</v>
      </c>
      <c r="K40" s="11" t="s">
        <v>468</v>
      </c>
      <c r="L40" s="11" t="s">
        <v>638</v>
      </c>
      <c r="M40" s="11" t="s">
        <v>667</v>
      </c>
      <c r="N40" s="11"/>
    </row>
    <row r="41" spans="1:14" ht="134.25" customHeight="1" x14ac:dyDescent="0.25">
      <c r="A41" s="4" t="s">
        <v>425</v>
      </c>
      <c r="B41" s="5" t="s">
        <v>347</v>
      </c>
      <c r="C41" s="4" t="str">
        <f>VLOOKUP(B41,SER!A:C,2,FALSE)</f>
        <v xml:space="preserve">Atención Integral de Salud del Joven y  Adulto </v>
      </c>
      <c r="D41" s="4" t="str">
        <f>VLOOKUP(B41,SER!A:C,3,FALSE)</f>
        <v>Preventivo</v>
      </c>
      <c r="E41" s="12" t="s">
        <v>393</v>
      </c>
      <c r="F41" s="18" t="s">
        <v>414</v>
      </c>
      <c r="G41" s="17" t="s">
        <v>485</v>
      </c>
      <c r="H41" s="11" t="s">
        <v>396</v>
      </c>
      <c r="I41" s="11" t="s">
        <v>668</v>
      </c>
      <c r="J41" s="11" t="s">
        <v>397</v>
      </c>
      <c r="K41" s="11" t="s">
        <v>415</v>
      </c>
      <c r="L41" s="11" t="s">
        <v>541</v>
      </c>
      <c r="M41" s="11" t="s">
        <v>669</v>
      </c>
      <c r="N41" s="11"/>
    </row>
    <row r="42" spans="1:14" ht="409.5" hidden="1" x14ac:dyDescent="0.25">
      <c r="A42" s="4" t="s">
        <v>421</v>
      </c>
      <c r="B42" s="5" t="s">
        <v>348</v>
      </c>
      <c r="C42" s="4" t="str">
        <f>VLOOKUP(B42,SER!A:C,2,FALSE)</f>
        <v xml:space="preserve">Consulta externa por profesionales no médicos ni odontólogos </v>
      </c>
      <c r="D42" s="4" t="str">
        <f>VLOOKUP(B42,SER!A:C,3,FALSE)</f>
        <v>Recuperativo</v>
      </c>
      <c r="E42" s="12" t="s">
        <v>480</v>
      </c>
      <c r="F42" s="18" t="s">
        <v>574</v>
      </c>
      <c r="G42" s="17" t="s">
        <v>451</v>
      </c>
      <c r="H42" s="11" t="s">
        <v>396</v>
      </c>
      <c r="I42" s="11" t="s">
        <v>629</v>
      </c>
      <c r="J42" s="11" t="s">
        <v>397</v>
      </c>
      <c r="K42" s="11"/>
      <c r="L42" s="11" t="s">
        <v>628</v>
      </c>
      <c r="M42" s="11" t="s">
        <v>496</v>
      </c>
      <c r="N42" s="11"/>
    </row>
    <row r="43" spans="1:14" ht="162.75" hidden="1" customHeight="1" x14ac:dyDescent="0.25">
      <c r="A43" s="4" t="s">
        <v>421</v>
      </c>
      <c r="B43" s="5" t="s">
        <v>349</v>
      </c>
      <c r="C43" s="4" t="str">
        <f>VLOOKUP(B43,SER!A:C,2,FALSE)</f>
        <v>Atención por Telesalud</v>
      </c>
      <c r="D43" s="4" t="str">
        <f>VLOOKUP(B43,SER!A:C,3,FALSE)</f>
        <v>Recuperativo</v>
      </c>
      <c r="E43" s="12"/>
      <c r="F43" s="18" t="s">
        <v>412</v>
      </c>
      <c r="G43" s="17" t="s">
        <v>451</v>
      </c>
      <c r="H43" s="11" t="s">
        <v>396</v>
      </c>
      <c r="I43" s="11"/>
      <c r="J43" s="11"/>
      <c r="K43" s="11" t="s">
        <v>416</v>
      </c>
      <c r="L43" s="11" t="s">
        <v>542</v>
      </c>
      <c r="M43" s="11"/>
      <c r="N43" s="11"/>
    </row>
    <row r="44" spans="1:14" ht="143.25" hidden="1" customHeight="1" x14ac:dyDescent="0.25">
      <c r="A44" s="4" t="s">
        <v>421</v>
      </c>
      <c r="B44" s="5" t="s">
        <v>350</v>
      </c>
      <c r="C44" s="4" t="str">
        <f>VLOOKUP(B44,SER!A:C,2,FALSE)</f>
        <v>Atención domiciliaria</v>
      </c>
      <c r="D44" s="4" t="str">
        <f>VLOOKUP(B44,SER!A:C,3,FALSE)</f>
        <v>Recuperativo</v>
      </c>
      <c r="E44" s="12" t="s">
        <v>417</v>
      </c>
      <c r="F44" s="18" t="s">
        <v>412</v>
      </c>
      <c r="G44" s="17" t="s">
        <v>451</v>
      </c>
      <c r="H44" s="11"/>
      <c r="I44" s="11"/>
      <c r="J44" s="11"/>
      <c r="K44" s="11" t="s">
        <v>413</v>
      </c>
      <c r="L44" s="11" t="s">
        <v>543</v>
      </c>
      <c r="M44" s="11" t="s">
        <v>544</v>
      </c>
      <c r="N44" s="11"/>
    </row>
    <row r="45" spans="1:14" ht="137.25" hidden="1" customHeight="1" x14ac:dyDescent="0.25">
      <c r="A45" s="4" t="s">
        <v>422</v>
      </c>
      <c r="B45" s="5" t="s">
        <v>191</v>
      </c>
      <c r="C45" s="4" t="str">
        <f>VLOOKUP(B45,SER!A:C,2,FALSE)</f>
        <v>Exámenes de ecografía obstétrica</v>
      </c>
      <c r="D45" s="4" t="str">
        <f>VLOOKUP(B45,SER!A:C,3,FALSE)</f>
        <v>Preventivo</v>
      </c>
      <c r="E45" s="12" t="s">
        <v>393</v>
      </c>
      <c r="F45" s="18" t="s">
        <v>418</v>
      </c>
      <c r="G45" s="17" t="s">
        <v>455</v>
      </c>
      <c r="H45" s="11" t="s">
        <v>371</v>
      </c>
      <c r="I45" s="11" t="s">
        <v>491</v>
      </c>
      <c r="J45" s="11" t="s">
        <v>397</v>
      </c>
      <c r="K45" s="11" t="s">
        <v>443</v>
      </c>
      <c r="L45" s="11" t="s">
        <v>546</v>
      </c>
      <c r="M45" s="11" t="s">
        <v>545</v>
      </c>
      <c r="N45" s="11"/>
    </row>
    <row r="46" spans="1:14" ht="142.5" hidden="1" customHeight="1" x14ac:dyDescent="0.25">
      <c r="A46" s="4" t="s">
        <v>422</v>
      </c>
      <c r="B46" s="5" t="s">
        <v>193</v>
      </c>
      <c r="C46" s="4" t="str">
        <f>VLOOKUP(B46,SER!A:C,2,FALSE)</f>
        <v>Diagnóstico del embarazo</v>
      </c>
      <c r="D46" s="4" t="str">
        <f>VLOOKUP(B46,SER!A:C,3,FALSE)</f>
        <v>Preventivo</v>
      </c>
      <c r="E46" s="12" t="s">
        <v>393</v>
      </c>
      <c r="F46" s="18" t="s">
        <v>553</v>
      </c>
      <c r="G46" s="17" t="s">
        <v>455</v>
      </c>
      <c r="H46" s="11" t="s">
        <v>371</v>
      </c>
      <c r="I46" s="11" t="s">
        <v>567</v>
      </c>
      <c r="J46" s="11" t="s">
        <v>397</v>
      </c>
      <c r="K46" s="11" t="s">
        <v>444</v>
      </c>
      <c r="L46" s="11" t="s">
        <v>547</v>
      </c>
      <c r="M46" s="11" t="s">
        <v>608</v>
      </c>
      <c r="N46" s="11"/>
    </row>
    <row r="47" spans="1:14" ht="113.25" hidden="1" customHeight="1" x14ac:dyDescent="0.25">
      <c r="A47" s="4" t="s">
        <v>421</v>
      </c>
      <c r="B47" s="5" t="s">
        <v>196</v>
      </c>
      <c r="C47" s="4" t="str">
        <f>VLOOKUP(B47,SER!A:C,2,FALSE)</f>
        <v>Salud reproductiva (planificación familiar)</v>
      </c>
      <c r="D47" s="4" t="str">
        <f>VLOOKUP(B47,SER!A:C,3,FALSE)</f>
        <v>Preventivo</v>
      </c>
      <c r="E47" s="12" t="s">
        <v>391</v>
      </c>
      <c r="F47" s="18" t="s">
        <v>552</v>
      </c>
      <c r="G47" s="17" t="s">
        <v>449</v>
      </c>
      <c r="H47" s="11" t="s">
        <v>371</v>
      </c>
      <c r="I47" s="11" t="s">
        <v>610</v>
      </c>
      <c r="J47" s="11"/>
      <c r="K47" s="11" t="s">
        <v>419</v>
      </c>
      <c r="L47" s="11" t="s">
        <v>548</v>
      </c>
      <c r="M47" s="11" t="s">
        <v>586</v>
      </c>
      <c r="N47" s="11"/>
    </row>
    <row r="48" spans="1:14" ht="78" hidden="1" customHeight="1" x14ac:dyDescent="0.25">
      <c r="A48" s="4" t="s">
        <v>366</v>
      </c>
      <c r="B48" s="5" t="s">
        <v>352</v>
      </c>
      <c r="C48" s="4" t="str">
        <f>VLOOKUP(B48,SER!A:C,2,FALSE)</f>
        <v>Telemonitoreo con prescripción y entrega de Medicamentos</v>
      </c>
      <c r="D48" s="4" t="str">
        <f>VLOOKUP(B48,SER!A:C,3,FALSE)</f>
        <v>Recuperativo</v>
      </c>
      <c r="E48" s="12" t="s">
        <v>482</v>
      </c>
      <c r="F48" s="18" t="s">
        <v>484</v>
      </c>
      <c r="G48" s="17" t="s">
        <v>483</v>
      </c>
      <c r="H48" s="11" t="s">
        <v>358</v>
      </c>
      <c r="I48" s="11"/>
      <c r="J48" s="11" t="s">
        <v>401</v>
      </c>
      <c r="K48" s="11"/>
      <c r="L48" s="11" t="s">
        <v>481</v>
      </c>
      <c r="M48" s="11" t="s">
        <v>497</v>
      </c>
      <c r="N48" s="11"/>
    </row>
    <row r="49" spans="1:14" ht="164.25" hidden="1" customHeight="1" x14ac:dyDescent="0.25">
      <c r="A49" s="4"/>
      <c r="B49" s="5" t="s">
        <v>356</v>
      </c>
      <c r="C49" s="4" t="str">
        <f>VLOOKUP(B49,SER!A:C,2,FALSE)</f>
        <v>Instrucción de Higiene Oral y Asesoría nutricional para el control de enfermedades dentales</v>
      </c>
      <c r="D49" s="4" t="str">
        <f>VLOOKUP(B49,SER!A:C,3,FALSE)</f>
        <v>Recuperativo</v>
      </c>
      <c r="E49" s="12" t="s">
        <v>482</v>
      </c>
      <c r="F49" s="18" t="s">
        <v>501</v>
      </c>
      <c r="G49" s="17" t="s">
        <v>483</v>
      </c>
      <c r="H49" s="11" t="s">
        <v>358</v>
      </c>
      <c r="I49" s="11" t="s">
        <v>603</v>
      </c>
      <c r="J49" s="11" t="s">
        <v>401</v>
      </c>
      <c r="K49" s="11" t="s">
        <v>500</v>
      </c>
      <c r="L49" s="11" t="s">
        <v>502</v>
      </c>
      <c r="M49" s="11" t="s">
        <v>549</v>
      </c>
      <c r="N49" s="11" t="s">
        <v>604</v>
      </c>
    </row>
    <row r="50" spans="1:14" ht="238.5" hidden="1" customHeight="1" x14ac:dyDescent="0.25">
      <c r="A50" s="2" t="s">
        <v>421</v>
      </c>
      <c r="B50" s="2" t="s">
        <v>575</v>
      </c>
      <c r="C50" s="3" t="s">
        <v>576</v>
      </c>
      <c r="G50" s="11" t="s">
        <v>577</v>
      </c>
      <c r="L50" s="23" t="s">
        <v>578</v>
      </c>
      <c r="N50" s="11"/>
    </row>
    <row r="51" spans="1:14" ht="144" hidden="1" customHeight="1" x14ac:dyDescent="0.25">
      <c r="B51" s="2" t="s">
        <v>203</v>
      </c>
      <c r="I51" s="24"/>
      <c r="L51" s="2" t="s">
        <v>637</v>
      </c>
      <c r="M51" s="2" t="s">
        <v>643</v>
      </c>
    </row>
    <row r="52" spans="1:14" ht="163.5" customHeight="1" x14ac:dyDescent="0.25"/>
  </sheetData>
  <autoFilter ref="A1:N51" xr:uid="{00000000-0001-0000-0000-000000000000}">
    <filterColumn colId="1">
      <filters>
        <filter val="COD_017"/>
        <filter val="COD_902"/>
        <filter val="COD_903"/>
        <filter val="COD_904"/>
      </filters>
    </filterColumn>
  </autoFilter>
  <pageMargins left="0.7" right="0.7" top="0.75" bottom="0.75" header="0.3" footer="0.3"/>
  <pageSetup paperSize="9"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3"/>
  <sheetViews>
    <sheetView topLeftCell="A25" workbookViewId="0">
      <selection activeCell="A31" sqref="A31"/>
    </sheetView>
  </sheetViews>
  <sheetFormatPr baseColWidth="10" defaultRowHeight="15" x14ac:dyDescent="0.25"/>
  <cols>
    <col min="1" max="1" width="12.42578125" style="2" customWidth="1"/>
  </cols>
  <sheetData>
    <row r="1" spans="1:1" x14ac:dyDescent="0.25">
      <c r="A1" s="2" t="s">
        <v>179</v>
      </c>
    </row>
    <row r="2" spans="1:1" x14ac:dyDescent="0.25">
      <c r="A2" s="5" t="s">
        <v>181</v>
      </c>
    </row>
    <row r="3" spans="1:1" x14ac:dyDescent="0.25">
      <c r="A3" s="7" t="s">
        <v>182</v>
      </c>
    </row>
    <row r="4" spans="1:1" x14ac:dyDescent="0.25">
      <c r="A4" s="5" t="s">
        <v>185</v>
      </c>
    </row>
    <row r="5" spans="1:1" x14ac:dyDescent="0.25">
      <c r="A5" s="7" t="s">
        <v>186</v>
      </c>
    </row>
    <row r="6" spans="1:1" x14ac:dyDescent="0.25">
      <c r="A6" s="5" t="s">
        <v>187</v>
      </c>
    </row>
    <row r="7" spans="1:1" x14ac:dyDescent="0.25">
      <c r="A7" s="7" t="s">
        <v>188</v>
      </c>
    </row>
    <row r="8" spans="1:1" x14ac:dyDescent="0.25">
      <c r="A8" s="5" t="s">
        <v>189</v>
      </c>
    </row>
    <row r="9" spans="1:1" x14ac:dyDescent="0.25">
      <c r="A9" s="6" t="s">
        <v>190</v>
      </c>
    </row>
    <row r="10" spans="1:1" x14ac:dyDescent="0.25">
      <c r="A10" s="5" t="s">
        <v>191</v>
      </c>
    </row>
    <row r="11" spans="1:1" x14ac:dyDescent="0.25">
      <c r="A11" s="7" t="s">
        <v>193</v>
      </c>
    </row>
    <row r="12" spans="1:1" x14ac:dyDescent="0.25">
      <c r="A12" s="5" t="s">
        <v>194</v>
      </c>
    </row>
    <row r="13" spans="1:1" x14ac:dyDescent="0.25">
      <c r="A13" s="7" t="s">
        <v>195</v>
      </c>
    </row>
    <row r="14" spans="1:1" x14ac:dyDescent="0.25">
      <c r="A14" s="5" t="s">
        <v>196</v>
      </c>
    </row>
    <row r="15" spans="1:1" x14ac:dyDescent="0.25">
      <c r="A15" s="7" t="s">
        <v>197</v>
      </c>
    </row>
    <row r="16" spans="1:1" x14ac:dyDescent="0.25">
      <c r="A16" s="5" t="s">
        <v>198</v>
      </c>
    </row>
    <row r="17" spans="1:1" x14ac:dyDescent="0.25">
      <c r="A17" s="7" t="s">
        <v>356</v>
      </c>
    </row>
    <row r="18" spans="1:1" x14ac:dyDescent="0.25">
      <c r="A18" s="7" t="s">
        <v>200</v>
      </c>
    </row>
    <row r="19" spans="1:1" x14ac:dyDescent="0.25">
      <c r="A19" s="5" t="s">
        <v>201</v>
      </c>
    </row>
    <row r="20" spans="1:1" x14ac:dyDescent="0.25">
      <c r="A20" s="7" t="s">
        <v>202</v>
      </c>
    </row>
    <row r="21" spans="1:1" x14ac:dyDescent="0.25">
      <c r="A21" s="5" t="s">
        <v>207</v>
      </c>
    </row>
    <row r="22" spans="1:1" x14ac:dyDescent="0.25">
      <c r="A22" s="7" t="s">
        <v>208</v>
      </c>
    </row>
    <row r="23" spans="1:1" x14ac:dyDescent="0.25">
      <c r="A23" s="5" t="s">
        <v>209</v>
      </c>
    </row>
    <row r="24" spans="1:1" x14ac:dyDescent="0.25">
      <c r="A24" s="7" t="s">
        <v>212</v>
      </c>
    </row>
    <row r="25" spans="1:1" x14ac:dyDescent="0.25">
      <c r="A25" s="5" t="s">
        <v>213</v>
      </c>
    </row>
    <row r="26" spans="1:1" x14ac:dyDescent="0.25">
      <c r="A26" s="7" t="s">
        <v>214</v>
      </c>
    </row>
    <row r="27" spans="1:1" x14ac:dyDescent="0.25">
      <c r="A27" s="5" t="s">
        <v>203</v>
      </c>
    </row>
    <row r="28" spans="1:1" x14ac:dyDescent="0.25">
      <c r="A28" s="7" t="s">
        <v>204</v>
      </c>
    </row>
    <row r="29" spans="1:1" x14ac:dyDescent="0.25">
      <c r="A29" s="5" t="s">
        <v>205</v>
      </c>
    </row>
    <row r="30" spans="1:1" x14ac:dyDescent="0.25">
      <c r="A30" s="5" t="s">
        <v>248</v>
      </c>
    </row>
    <row r="31" spans="1:1" x14ac:dyDescent="0.25">
      <c r="A31"/>
    </row>
    <row r="32" spans="1:1"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sheetData>
  <pageMargins left="0.7" right="0.7" top="0.75" bottom="0.75" header="0.3" footer="0.3"/>
  <pageSetup paperSize="9" orientation="portrait" horizontalDpi="4294967294" vertic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9"/>
  <sheetViews>
    <sheetView topLeftCell="A148" workbookViewId="0">
      <selection activeCell="A10" sqref="A10"/>
    </sheetView>
  </sheetViews>
  <sheetFormatPr baseColWidth="10" defaultRowHeight="15" x14ac:dyDescent="0.25"/>
  <cols>
    <col min="1" max="1" width="8.85546875" style="1" bestFit="1" customWidth="1"/>
    <col min="2" max="2" width="74.5703125" bestFit="1" customWidth="1"/>
    <col min="3" max="3" width="17.42578125" bestFit="1" customWidth="1"/>
  </cols>
  <sheetData>
    <row r="1" spans="1:3" x14ac:dyDescent="0.25">
      <c r="A1" s="8" t="s">
        <v>181</v>
      </c>
      <c r="B1" s="8" t="s">
        <v>0</v>
      </c>
      <c r="C1" s="8" t="s">
        <v>88</v>
      </c>
    </row>
    <row r="2" spans="1:3" x14ac:dyDescent="0.25">
      <c r="A2" s="8" t="s">
        <v>182</v>
      </c>
      <c r="B2" s="8" t="s">
        <v>144</v>
      </c>
      <c r="C2" s="8" t="s">
        <v>88</v>
      </c>
    </row>
    <row r="3" spans="1:3" x14ac:dyDescent="0.25">
      <c r="A3" t="s">
        <v>183</v>
      </c>
      <c r="B3" t="s">
        <v>89</v>
      </c>
      <c r="C3" t="s">
        <v>88</v>
      </c>
    </row>
    <row r="4" spans="1:3" x14ac:dyDescent="0.25">
      <c r="A4" t="s">
        <v>184</v>
      </c>
      <c r="B4" t="s">
        <v>90</v>
      </c>
      <c r="C4" t="s">
        <v>88</v>
      </c>
    </row>
    <row r="5" spans="1:3" x14ac:dyDescent="0.25">
      <c r="A5" s="8" t="s">
        <v>185</v>
      </c>
      <c r="B5" s="8" t="s">
        <v>145</v>
      </c>
      <c r="C5" s="8" t="s">
        <v>88</v>
      </c>
    </row>
    <row r="6" spans="1:3" x14ac:dyDescent="0.25">
      <c r="A6" t="s">
        <v>186</v>
      </c>
      <c r="B6" t="s">
        <v>146</v>
      </c>
      <c r="C6" t="s">
        <v>88</v>
      </c>
    </row>
    <row r="7" spans="1:3" x14ac:dyDescent="0.25">
      <c r="A7" t="s">
        <v>187</v>
      </c>
      <c r="B7" t="s">
        <v>1</v>
      </c>
      <c r="C7" t="s">
        <v>88</v>
      </c>
    </row>
    <row r="8" spans="1:3" x14ac:dyDescent="0.25">
      <c r="A8" t="s">
        <v>188</v>
      </c>
      <c r="B8" t="s">
        <v>2</v>
      </c>
      <c r="C8" t="s">
        <v>88</v>
      </c>
    </row>
    <row r="9" spans="1:3" x14ac:dyDescent="0.25">
      <c r="A9" t="s">
        <v>189</v>
      </c>
      <c r="B9" t="s">
        <v>3</v>
      </c>
      <c r="C9" t="s">
        <v>88</v>
      </c>
    </row>
    <row r="10" spans="1:3" x14ac:dyDescent="0.25">
      <c r="A10" t="s">
        <v>190</v>
      </c>
      <c r="B10" t="s">
        <v>147</v>
      </c>
      <c r="C10" t="s">
        <v>88</v>
      </c>
    </row>
    <row r="11" spans="1:3" x14ac:dyDescent="0.25">
      <c r="A11" t="s">
        <v>191</v>
      </c>
      <c r="B11" t="s">
        <v>4</v>
      </c>
      <c r="C11" t="s">
        <v>88</v>
      </c>
    </row>
    <row r="12" spans="1:3" x14ac:dyDescent="0.25">
      <c r="A12" t="s">
        <v>192</v>
      </c>
      <c r="B12" t="s">
        <v>148</v>
      </c>
      <c r="C12" t="s">
        <v>88</v>
      </c>
    </row>
    <row r="13" spans="1:3" x14ac:dyDescent="0.25">
      <c r="A13" t="s">
        <v>193</v>
      </c>
      <c r="B13" t="s">
        <v>5</v>
      </c>
      <c r="C13" t="s">
        <v>88</v>
      </c>
    </row>
    <row r="14" spans="1:3" x14ac:dyDescent="0.25">
      <c r="A14" t="s">
        <v>194</v>
      </c>
      <c r="B14" t="s">
        <v>149</v>
      </c>
      <c r="C14" t="s">
        <v>88</v>
      </c>
    </row>
    <row r="15" spans="1:3" x14ac:dyDescent="0.25">
      <c r="A15" t="s">
        <v>195</v>
      </c>
      <c r="B15" t="s">
        <v>150</v>
      </c>
      <c r="C15" t="s">
        <v>88</v>
      </c>
    </row>
    <row r="16" spans="1:3" x14ac:dyDescent="0.25">
      <c r="A16" t="s">
        <v>196</v>
      </c>
      <c r="B16" t="s">
        <v>6</v>
      </c>
      <c r="C16" t="s">
        <v>88</v>
      </c>
    </row>
    <row r="17" spans="1:3" x14ac:dyDescent="0.25">
      <c r="A17" t="s">
        <v>197</v>
      </c>
      <c r="B17" t="s">
        <v>7</v>
      </c>
      <c r="C17" t="s">
        <v>88</v>
      </c>
    </row>
    <row r="18" spans="1:3" x14ac:dyDescent="0.25">
      <c r="A18" t="s">
        <v>198</v>
      </c>
      <c r="B18" t="s">
        <v>8</v>
      </c>
      <c r="C18" t="s">
        <v>88</v>
      </c>
    </row>
    <row r="19" spans="1:3" x14ac:dyDescent="0.25">
      <c r="A19" t="s">
        <v>199</v>
      </c>
      <c r="B19" t="s">
        <v>9</v>
      </c>
      <c r="C19" t="s">
        <v>88</v>
      </c>
    </row>
    <row r="20" spans="1:3" x14ac:dyDescent="0.25">
      <c r="A20" t="s">
        <v>200</v>
      </c>
      <c r="B20" t="s">
        <v>10</v>
      </c>
      <c r="C20" t="s">
        <v>88</v>
      </c>
    </row>
    <row r="21" spans="1:3" x14ac:dyDescent="0.25">
      <c r="A21" t="s">
        <v>201</v>
      </c>
      <c r="B21" t="s">
        <v>11</v>
      </c>
      <c r="C21" t="s">
        <v>88</v>
      </c>
    </row>
    <row r="22" spans="1:3" x14ac:dyDescent="0.25">
      <c r="A22" t="s">
        <v>202</v>
      </c>
      <c r="B22" t="s">
        <v>151</v>
      </c>
      <c r="C22" t="s">
        <v>88</v>
      </c>
    </row>
    <row r="23" spans="1:3" x14ac:dyDescent="0.25">
      <c r="A23" t="s">
        <v>203</v>
      </c>
      <c r="B23" t="s">
        <v>12</v>
      </c>
      <c r="C23" t="s">
        <v>88</v>
      </c>
    </row>
    <row r="24" spans="1:3" x14ac:dyDescent="0.25">
      <c r="A24" t="s">
        <v>204</v>
      </c>
      <c r="B24" t="s">
        <v>152</v>
      </c>
      <c r="C24" t="s">
        <v>113</v>
      </c>
    </row>
    <row r="25" spans="1:3" x14ac:dyDescent="0.25">
      <c r="A25" t="s">
        <v>205</v>
      </c>
      <c r="B25" t="s">
        <v>13</v>
      </c>
      <c r="C25" t="s">
        <v>113</v>
      </c>
    </row>
    <row r="26" spans="1:3" x14ac:dyDescent="0.25">
      <c r="A26" t="s">
        <v>206</v>
      </c>
      <c r="B26" t="s">
        <v>14</v>
      </c>
      <c r="C26" t="s">
        <v>88</v>
      </c>
    </row>
    <row r="27" spans="1:3" x14ac:dyDescent="0.25">
      <c r="A27" t="s">
        <v>207</v>
      </c>
      <c r="B27" t="s">
        <v>15</v>
      </c>
      <c r="C27" t="s">
        <v>88</v>
      </c>
    </row>
    <row r="28" spans="1:3" x14ac:dyDescent="0.25">
      <c r="A28" t="s">
        <v>208</v>
      </c>
      <c r="B28" t="s">
        <v>16</v>
      </c>
      <c r="C28" t="s">
        <v>113</v>
      </c>
    </row>
    <row r="29" spans="1:3" x14ac:dyDescent="0.25">
      <c r="A29" t="s">
        <v>209</v>
      </c>
      <c r="B29" t="s">
        <v>17</v>
      </c>
      <c r="C29" t="s">
        <v>113</v>
      </c>
    </row>
    <row r="30" spans="1:3" x14ac:dyDescent="0.25">
      <c r="A30" t="s">
        <v>210</v>
      </c>
      <c r="B30" t="s">
        <v>18</v>
      </c>
      <c r="C30" t="s">
        <v>113</v>
      </c>
    </row>
    <row r="31" spans="1:3" x14ac:dyDescent="0.25">
      <c r="A31" t="s">
        <v>211</v>
      </c>
      <c r="B31" t="s">
        <v>153</v>
      </c>
      <c r="C31" t="s">
        <v>113</v>
      </c>
    </row>
    <row r="32" spans="1:3" x14ac:dyDescent="0.25">
      <c r="A32" t="s">
        <v>212</v>
      </c>
      <c r="B32" t="s">
        <v>19</v>
      </c>
      <c r="C32" t="s">
        <v>113</v>
      </c>
    </row>
    <row r="33" spans="1:3" x14ac:dyDescent="0.25">
      <c r="A33" t="s">
        <v>213</v>
      </c>
      <c r="B33" t="s">
        <v>20</v>
      </c>
      <c r="C33" t="s">
        <v>113</v>
      </c>
    </row>
    <row r="34" spans="1:3" x14ac:dyDescent="0.25">
      <c r="A34" t="s">
        <v>214</v>
      </c>
      <c r="B34" t="s">
        <v>21</v>
      </c>
      <c r="C34" t="s">
        <v>113</v>
      </c>
    </row>
    <row r="35" spans="1:3" x14ac:dyDescent="0.25">
      <c r="A35" t="s">
        <v>215</v>
      </c>
      <c r="B35" t="s">
        <v>22</v>
      </c>
      <c r="C35" t="s">
        <v>113</v>
      </c>
    </row>
    <row r="36" spans="1:3" x14ac:dyDescent="0.25">
      <c r="A36" t="s">
        <v>216</v>
      </c>
      <c r="B36" t="s">
        <v>23</v>
      </c>
      <c r="C36" t="s">
        <v>113</v>
      </c>
    </row>
    <row r="37" spans="1:3" x14ac:dyDescent="0.25">
      <c r="A37" t="s">
        <v>217</v>
      </c>
      <c r="B37" t="s">
        <v>24</v>
      </c>
      <c r="C37" t="s">
        <v>113</v>
      </c>
    </row>
    <row r="38" spans="1:3" x14ac:dyDescent="0.25">
      <c r="A38" t="s">
        <v>218</v>
      </c>
      <c r="B38" t="s">
        <v>25</v>
      </c>
      <c r="C38" t="s">
        <v>113</v>
      </c>
    </row>
    <row r="39" spans="1:3" x14ac:dyDescent="0.25">
      <c r="A39" t="s">
        <v>219</v>
      </c>
      <c r="B39" t="s">
        <v>26</v>
      </c>
      <c r="C39" t="s">
        <v>113</v>
      </c>
    </row>
    <row r="40" spans="1:3" x14ac:dyDescent="0.25">
      <c r="A40" t="s">
        <v>220</v>
      </c>
      <c r="B40" t="s">
        <v>27</v>
      </c>
      <c r="C40" t="s">
        <v>113</v>
      </c>
    </row>
    <row r="41" spans="1:3" x14ac:dyDescent="0.25">
      <c r="A41" t="s">
        <v>221</v>
      </c>
      <c r="B41" t="s">
        <v>28</v>
      </c>
      <c r="C41" t="s">
        <v>113</v>
      </c>
    </row>
    <row r="42" spans="1:3" x14ac:dyDescent="0.25">
      <c r="A42" t="s">
        <v>222</v>
      </c>
      <c r="B42" t="s">
        <v>154</v>
      </c>
      <c r="C42" t="s">
        <v>113</v>
      </c>
    </row>
    <row r="43" spans="1:3" x14ac:dyDescent="0.25">
      <c r="A43" t="s">
        <v>223</v>
      </c>
      <c r="B43" t="s">
        <v>29</v>
      </c>
      <c r="C43" t="s">
        <v>113</v>
      </c>
    </row>
    <row r="44" spans="1:3" x14ac:dyDescent="0.25">
      <c r="A44" t="s">
        <v>224</v>
      </c>
      <c r="B44" t="s">
        <v>30</v>
      </c>
      <c r="C44" t="s">
        <v>113</v>
      </c>
    </row>
    <row r="45" spans="1:3" x14ac:dyDescent="0.25">
      <c r="A45" t="s">
        <v>225</v>
      </c>
      <c r="B45" t="s">
        <v>31</v>
      </c>
      <c r="C45" t="s">
        <v>113</v>
      </c>
    </row>
    <row r="46" spans="1:3" x14ac:dyDescent="0.25">
      <c r="A46" t="s">
        <v>226</v>
      </c>
      <c r="B46" t="s">
        <v>155</v>
      </c>
      <c r="C46" t="s">
        <v>113</v>
      </c>
    </row>
    <row r="47" spans="1:3" x14ac:dyDescent="0.25">
      <c r="A47" t="s">
        <v>227</v>
      </c>
      <c r="B47" t="s">
        <v>156</v>
      </c>
      <c r="C47" t="s">
        <v>113</v>
      </c>
    </row>
    <row r="48" spans="1:3" x14ac:dyDescent="0.25">
      <c r="A48" t="s">
        <v>228</v>
      </c>
      <c r="B48" t="s">
        <v>32</v>
      </c>
      <c r="C48" t="s">
        <v>113</v>
      </c>
    </row>
    <row r="49" spans="1:3" x14ac:dyDescent="0.25">
      <c r="A49" t="s">
        <v>229</v>
      </c>
      <c r="B49" t="s">
        <v>33</v>
      </c>
      <c r="C49" t="s">
        <v>113</v>
      </c>
    </row>
    <row r="50" spans="1:3" x14ac:dyDescent="0.25">
      <c r="A50" t="s">
        <v>230</v>
      </c>
      <c r="B50" t="s">
        <v>114</v>
      </c>
      <c r="C50" t="s">
        <v>113</v>
      </c>
    </row>
    <row r="51" spans="1:3" x14ac:dyDescent="0.25">
      <c r="A51" t="s">
        <v>231</v>
      </c>
      <c r="B51" t="s">
        <v>34</v>
      </c>
      <c r="C51" t="s">
        <v>113</v>
      </c>
    </row>
    <row r="52" spans="1:3" x14ac:dyDescent="0.25">
      <c r="A52" t="s">
        <v>232</v>
      </c>
      <c r="B52" t="s">
        <v>35</v>
      </c>
      <c r="C52" t="s">
        <v>113</v>
      </c>
    </row>
    <row r="53" spans="1:3" x14ac:dyDescent="0.25">
      <c r="A53" t="s">
        <v>233</v>
      </c>
      <c r="B53" t="s">
        <v>48</v>
      </c>
      <c r="C53" t="s">
        <v>177</v>
      </c>
    </row>
    <row r="54" spans="1:3" x14ac:dyDescent="0.25">
      <c r="A54" t="s">
        <v>234</v>
      </c>
      <c r="B54" t="s">
        <v>157</v>
      </c>
      <c r="C54" t="s">
        <v>113</v>
      </c>
    </row>
    <row r="55" spans="1:3" x14ac:dyDescent="0.25">
      <c r="A55" t="s">
        <v>235</v>
      </c>
      <c r="B55" t="s">
        <v>115</v>
      </c>
      <c r="C55" t="s">
        <v>113</v>
      </c>
    </row>
    <row r="56" spans="1:3" x14ac:dyDescent="0.25">
      <c r="A56" t="s">
        <v>236</v>
      </c>
      <c r="B56" t="s">
        <v>49</v>
      </c>
      <c r="C56" t="s">
        <v>113</v>
      </c>
    </row>
    <row r="57" spans="1:3" x14ac:dyDescent="0.25">
      <c r="A57" t="s">
        <v>236</v>
      </c>
      <c r="B57" t="s">
        <v>54</v>
      </c>
      <c r="C57" t="s">
        <v>177</v>
      </c>
    </row>
    <row r="58" spans="1:3" x14ac:dyDescent="0.25">
      <c r="A58" t="s">
        <v>237</v>
      </c>
      <c r="B58" t="s">
        <v>50</v>
      </c>
      <c r="C58" t="s">
        <v>88</v>
      </c>
    </row>
    <row r="59" spans="1:3" x14ac:dyDescent="0.25">
      <c r="A59" t="s">
        <v>237</v>
      </c>
      <c r="B59" t="s">
        <v>55</v>
      </c>
      <c r="C59" t="s">
        <v>177</v>
      </c>
    </row>
    <row r="60" spans="1:3" x14ac:dyDescent="0.25">
      <c r="A60" t="s">
        <v>238</v>
      </c>
      <c r="B60" t="s">
        <v>51</v>
      </c>
      <c r="C60" t="s">
        <v>88</v>
      </c>
    </row>
    <row r="61" spans="1:3" x14ac:dyDescent="0.25">
      <c r="A61" t="s">
        <v>238</v>
      </c>
      <c r="B61" t="s">
        <v>56</v>
      </c>
      <c r="C61" t="s">
        <v>177</v>
      </c>
    </row>
    <row r="62" spans="1:3" x14ac:dyDescent="0.25">
      <c r="A62" t="s">
        <v>239</v>
      </c>
      <c r="B62" t="s">
        <v>52</v>
      </c>
      <c r="C62" t="s">
        <v>88</v>
      </c>
    </row>
    <row r="63" spans="1:3" x14ac:dyDescent="0.25">
      <c r="A63" t="s">
        <v>239</v>
      </c>
      <c r="B63" t="s">
        <v>57</v>
      </c>
      <c r="C63" t="s">
        <v>177</v>
      </c>
    </row>
    <row r="64" spans="1:3" x14ac:dyDescent="0.25">
      <c r="A64" t="s">
        <v>240</v>
      </c>
      <c r="B64" t="s">
        <v>53</v>
      </c>
      <c r="C64" t="s">
        <v>177</v>
      </c>
    </row>
    <row r="65" spans="1:3" x14ac:dyDescent="0.25">
      <c r="A65" t="s">
        <v>241</v>
      </c>
      <c r="B65" t="s">
        <v>158</v>
      </c>
      <c r="C65" t="s">
        <v>177</v>
      </c>
    </row>
    <row r="66" spans="1:3" x14ac:dyDescent="0.25">
      <c r="A66" t="s">
        <v>242</v>
      </c>
      <c r="B66" t="s">
        <v>159</v>
      </c>
      <c r="C66" t="s">
        <v>177</v>
      </c>
    </row>
    <row r="67" spans="1:3" x14ac:dyDescent="0.25">
      <c r="A67" t="s">
        <v>243</v>
      </c>
      <c r="B67" t="s">
        <v>160</v>
      </c>
      <c r="C67" t="s">
        <v>177</v>
      </c>
    </row>
    <row r="68" spans="1:3" x14ac:dyDescent="0.25">
      <c r="A68" t="s">
        <v>244</v>
      </c>
      <c r="B68" t="s">
        <v>161</v>
      </c>
      <c r="C68" t="s">
        <v>177</v>
      </c>
    </row>
    <row r="69" spans="1:3" x14ac:dyDescent="0.25">
      <c r="A69" t="s">
        <v>245</v>
      </c>
      <c r="B69" t="s">
        <v>162</v>
      </c>
      <c r="C69" t="s">
        <v>177</v>
      </c>
    </row>
    <row r="70" spans="1:3" x14ac:dyDescent="0.25">
      <c r="A70" t="s">
        <v>246</v>
      </c>
      <c r="B70" t="s">
        <v>163</v>
      </c>
      <c r="C70" t="s">
        <v>177</v>
      </c>
    </row>
    <row r="71" spans="1:3" x14ac:dyDescent="0.25">
      <c r="A71" t="s">
        <v>247</v>
      </c>
      <c r="B71" t="s">
        <v>36</v>
      </c>
      <c r="C71" t="s">
        <v>177</v>
      </c>
    </row>
    <row r="72" spans="1:3" x14ac:dyDescent="0.25">
      <c r="A72" t="s">
        <v>248</v>
      </c>
      <c r="B72" t="s">
        <v>37</v>
      </c>
      <c r="C72" t="s">
        <v>88</v>
      </c>
    </row>
    <row r="73" spans="1:3" x14ac:dyDescent="0.25">
      <c r="A73" t="s">
        <v>249</v>
      </c>
      <c r="B73" t="s">
        <v>38</v>
      </c>
      <c r="C73" t="s">
        <v>88</v>
      </c>
    </row>
    <row r="74" spans="1:3" x14ac:dyDescent="0.25">
      <c r="A74" t="s">
        <v>250</v>
      </c>
      <c r="B74" t="s">
        <v>164</v>
      </c>
      <c r="C74" t="s">
        <v>88</v>
      </c>
    </row>
    <row r="75" spans="1:3" x14ac:dyDescent="0.25">
      <c r="A75" t="s">
        <v>251</v>
      </c>
      <c r="B75" t="s">
        <v>39</v>
      </c>
      <c r="C75" t="s">
        <v>178</v>
      </c>
    </row>
    <row r="76" spans="1:3" x14ac:dyDescent="0.25">
      <c r="A76" t="s">
        <v>252</v>
      </c>
      <c r="B76" t="s">
        <v>92</v>
      </c>
      <c r="C76" t="s">
        <v>88</v>
      </c>
    </row>
    <row r="77" spans="1:3" x14ac:dyDescent="0.25">
      <c r="A77" t="s">
        <v>253</v>
      </c>
      <c r="B77" t="s">
        <v>93</v>
      </c>
      <c r="C77" t="s">
        <v>88</v>
      </c>
    </row>
    <row r="78" spans="1:3" x14ac:dyDescent="0.25">
      <c r="A78" t="s">
        <v>254</v>
      </c>
      <c r="B78" t="s">
        <v>67</v>
      </c>
      <c r="C78" t="s">
        <v>88</v>
      </c>
    </row>
    <row r="79" spans="1:3" x14ac:dyDescent="0.25">
      <c r="A79" t="s">
        <v>255</v>
      </c>
      <c r="B79" t="s">
        <v>94</v>
      </c>
      <c r="C79" t="s">
        <v>88</v>
      </c>
    </row>
    <row r="80" spans="1:3" x14ac:dyDescent="0.25">
      <c r="A80" t="s">
        <v>256</v>
      </c>
      <c r="B80" t="s">
        <v>95</v>
      </c>
      <c r="C80" t="s">
        <v>88</v>
      </c>
    </row>
    <row r="81" spans="1:3" x14ac:dyDescent="0.25">
      <c r="A81" t="s">
        <v>257</v>
      </c>
      <c r="B81" t="s">
        <v>116</v>
      </c>
      <c r="C81" t="s">
        <v>113</v>
      </c>
    </row>
    <row r="82" spans="1:3" x14ac:dyDescent="0.25">
      <c r="A82" t="s">
        <v>258</v>
      </c>
      <c r="B82" t="s">
        <v>91</v>
      </c>
      <c r="C82" t="s">
        <v>88</v>
      </c>
    </row>
    <row r="83" spans="1:3" x14ac:dyDescent="0.25">
      <c r="A83" t="s">
        <v>259</v>
      </c>
      <c r="B83" t="s">
        <v>96</v>
      </c>
      <c r="C83" t="s">
        <v>88</v>
      </c>
    </row>
    <row r="84" spans="1:3" x14ac:dyDescent="0.25">
      <c r="A84" t="s">
        <v>260</v>
      </c>
      <c r="B84" t="s">
        <v>97</v>
      </c>
      <c r="C84" t="s">
        <v>88</v>
      </c>
    </row>
    <row r="85" spans="1:3" x14ac:dyDescent="0.25">
      <c r="A85" t="s">
        <v>261</v>
      </c>
      <c r="B85" t="s">
        <v>98</v>
      </c>
      <c r="C85" t="s">
        <v>88</v>
      </c>
    </row>
    <row r="86" spans="1:3" x14ac:dyDescent="0.25">
      <c r="A86" t="s">
        <v>262</v>
      </c>
      <c r="B86" t="s">
        <v>99</v>
      </c>
      <c r="C86" t="s">
        <v>88</v>
      </c>
    </row>
    <row r="87" spans="1:3" x14ac:dyDescent="0.25">
      <c r="A87" t="s">
        <v>263</v>
      </c>
      <c r="B87" t="s">
        <v>100</v>
      </c>
      <c r="C87" t="s">
        <v>88</v>
      </c>
    </row>
    <row r="88" spans="1:3" x14ac:dyDescent="0.25">
      <c r="A88" t="s">
        <v>264</v>
      </c>
      <c r="B88" t="s">
        <v>101</v>
      </c>
      <c r="C88" t="s">
        <v>88</v>
      </c>
    </row>
    <row r="89" spans="1:3" x14ac:dyDescent="0.25">
      <c r="A89" t="s">
        <v>265</v>
      </c>
      <c r="B89" t="s">
        <v>117</v>
      </c>
      <c r="C89" t="s">
        <v>113</v>
      </c>
    </row>
    <row r="90" spans="1:3" x14ac:dyDescent="0.25">
      <c r="A90" t="s">
        <v>266</v>
      </c>
      <c r="B90" t="s">
        <v>118</v>
      </c>
      <c r="C90" t="s">
        <v>113</v>
      </c>
    </row>
    <row r="91" spans="1:3" x14ac:dyDescent="0.25">
      <c r="A91" t="s">
        <v>267</v>
      </c>
      <c r="B91" t="s">
        <v>45</v>
      </c>
      <c r="C91" t="s">
        <v>88</v>
      </c>
    </row>
    <row r="92" spans="1:3" x14ac:dyDescent="0.25">
      <c r="A92" t="s">
        <v>268</v>
      </c>
      <c r="B92" t="s">
        <v>102</v>
      </c>
      <c r="C92" t="s">
        <v>88</v>
      </c>
    </row>
    <row r="93" spans="1:3" x14ac:dyDescent="0.25">
      <c r="A93" t="s">
        <v>269</v>
      </c>
      <c r="B93" t="s">
        <v>103</v>
      </c>
      <c r="C93" t="s">
        <v>88</v>
      </c>
    </row>
    <row r="94" spans="1:3" x14ac:dyDescent="0.25">
      <c r="A94" t="s">
        <v>270</v>
      </c>
      <c r="B94" t="s">
        <v>104</v>
      </c>
      <c r="C94" t="s">
        <v>88</v>
      </c>
    </row>
    <row r="95" spans="1:3" x14ac:dyDescent="0.25">
      <c r="A95" t="s">
        <v>271</v>
      </c>
      <c r="B95" t="s">
        <v>105</v>
      </c>
      <c r="C95" t="s">
        <v>88</v>
      </c>
    </row>
    <row r="96" spans="1:3" x14ac:dyDescent="0.25">
      <c r="A96" t="s">
        <v>272</v>
      </c>
      <c r="B96" t="s">
        <v>106</v>
      </c>
      <c r="C96" t="s">
        <v>88</v>
      </c>
    </row>
    <row r="97" spans="1:3" x14ac:dyDescent="0.25">
      <c r="A97" t="s">
        <v>273</v>
      </c>
      <c r="B97" t="s">
        <v>107</v>
      </c>
      <c r="C97" t="s">
        <v>88</v>
      </c>
    </row>
    <row r="98" spans="1:3" x14ac:dyDescent="0.25">
      <c r="A98" t="s">
        <v>274</v>
      </c>
      <c r="B98" t="s">
        <v>46</v>
      </c>
      <c r="C98" t="s">
        <v>88</v>
      </c>
    </row>
    <row r="99" spans="1:3" x14ac:dyDescent="0.25">
      <c r="A99" t="s">
        <v>275</v>
      </c>
      <c r="B99" t="s">
        <v>119</v>
      </c>
      <c r="C99" t="s">
        <v>113</v>
      </c>
    </row>
    <row r="100" spans="1:3" x14ac:dyDescent="0.25">
      <c r="A100" t="s">
        <v>276</v>
      </c>
      <c r="B100" t="s">
        <v>120</v>
      </c>
      <c r="C100" t="s">
        <v>113</v>
      </c>
    </row>
    <row r="101" spans="1:3" x14ac:dyDescent="0.25">
      <c r="A101" t="s">
        <v>277</v>
      </c>
      <c r="B101" t="s">
        <v>121</v>
      </c>
      <c r="C101" t="s">
        <v>113</v>
      </c>
    </row>
    <row r="102" spans="1:3" x14ac:dyDescent="0.25">
      <c r="A102" t="s">
        <v>278</v>
      </c>
      <c r="B102" t="s">
        <v>122</v>
      </c>
      <c r="C102" t="s">
        <v>113</v>
      </c>
    </row>
    <row r="103" spans="1:3" x14ac:dyDescent="0.25">
      <c r="A103" t="s">
        <v>279</v>
      </c>
      <c r="B103" t="s">
        <v>123</v>
      </c>
      <c r="C103" t="s">
        <v>113</v>
      </c>
    </row>
    <row r="104" spans="1:3" x14ac:dyDescent="0.25">
      <c r="A104" t="s">
        <v>280</v>
      </c>
      <c r="B104" t="s">
        <v>124</v>
      </c>
      <c r="C104" t="s">
        <v>113</v>
      </c>
    </row>
    <row r="105" spans="1:3" x14ac:dyDescent="0.25">
      <c r="A105" t="s">
        <v>281</v>
      </c>
      <c r="B105" t="s">
        <v>125</v>
      </c>
      <c r="C105" t="s">
        <v>113</v>
      </c>
    </row>
    <row r="106" spans="1:3" x14ac:dyDescent="0.25">
      <c r="A106" t="s">
        <v>282</v>
      </c>
      <c r="B106" t="s">
        <v>126</v>
      </c>
      <c r="C106" t="s">
        <v>113</v>
      </c>
    </row>
    <row r="107" spans="1:3" x14ac:dyDescent="0.25">
      <c r="A107" t="s">
        <v>283</v>
      </c>
      <c r="B107" t="s">
        <v>127</v>
      </c>
      <c r="C107" t="s">
        <v>113</v>
      </c>
    </row>
    <row r="108" spans="1:3" x14ac:dyDescent="0.25">
      <c r="A108" t="s">
        <v>284</v>
      </c>
      <c r="B108" t="s">
        <v>128</v>
      </c>
      <c r="C108" t="s">
        <v>113</v>
      </c>
    </row>
    <row r="109" spans="1:3" x14ac:dyDescent="0.25">
      <c r="A109" t="s">
        <v>285</v>
      </c>
      <c r="B109" t="s">
        <v>129</v>
      </c>
      <c r="C109" t="s">
        <v>113</v>
      </c>
    </row>
    <row r="110" spans="1:3" x14ac:dyDescent="0.25">
      <c r="A110" t="s">
        <v>286</v>
      </c>
      <c r="B110" t="s">
        <v>130</v>
      </c>
      <c r="C110" t="s">
        <v>113</v>
      </c>
    </row>
    <row r="111" spans="1:3" x14ac:dyDescent="0.25">
      <c r="A111" t="s">
        <v>287</v>
      </c>
      <c r="B111" t="s">
        <v>131</v>
      </c>
      <c r="C111" t="s">
        <v>113</v>
      </c>
    </row>
    <row r="112" spans="1:3" x14ac:dyDescent="0.25">
      <c r="A112" t="s">
        <v>288</v>
      </c>
      <c r="B112" t="s">
        <v>132</v>
      </c>
      <c r="C112" t="s">
        <v>113</v>
      </c>
    </row>
    <row r="113" spans="1:3" x14ac:dyDescent="0.25">
      <c r="A113" t="s">
        <v>289</v>
      </c>
      <c r="B113" t="s">
        <v>58</v>
      </c>
      <c r="C113" t="s">
        <v>177</v>
      </c>
    </row>
    <row r="114" spans="1:3" x14ac:dyDescent="0.25">
      <c r="A114" t="s">
        <v>290</v>
      </c>
      <c r="B114" t="s">
        <v>59</v>
      </c>
      <c r="C114" t="s">
        <v>177</v>
      </c>
    </row>
    <row r="115" spans="1:3" x14ac:dyDescent="0.25">
      <c r="A115" t="s">
        <v>291</v>
      </c>
      <c r="B115" t="s">
        <v>60</v>
      </c>
      <c r="C115" t="s">
        <v>177</v>
      </c>
    </row>
    <row r="116" spans="1:3" x14ac:dyDescent="0.25">
      <c r="A116" t="s">
        <v>292</v>
      </c>
      <c r="B116" t="s">
        <v>61</v>
      </c>
      <c r="C116" t="s">
        <v>177</v>
      </c>
    </row>
    <row r="117" spans="1:3" x14ac:dyDescent="0.25">
      <c r="A117" t="s">
        <v>293</v>
      </c>
      <c r="B117" t="s">
        <v>62</v>
      </c>
      <c r="C117" t="s">
        <v>177</v>
      </c>
    </row>
    <row r="118" spans="1:3" x14ac:dyDescent="0.25">
      <c r="A118" t="s">
        <v>294</v>
      </c>
      <c r="B118" t="s">
        <v>63</v>
      </c>
      <c r="C118" t="s">
        <v>177</v>
      </c>
    </row>
    <row r="119" spans="1:3" x14ac:dyDescent="0.25">
      <c r="A119" t="s">
        <v>295</v>
      </c>
      <c r="B119" t="s">
        <v>133</v>
      </c>
      <c r="C119" t="s">
        <v>113</v>
      </c>
    </row>
    <row r="120" spans="1:3" x14ac:dyDescent="0.25">
      <c r="A120" t="s">
        <v>296</v>
      </c>
      <c r="B120" t="s">
        <v>134</v>
      </c>
      <c r="C120" t="s">
        <v>113</v>
      </c>
    </row>
    <row r="121" spans="1:3" x14ac:dyDescent="0.25">
      <c r="A121" t="s">
        <v>297</v>
      </c>
      <c r="B121" t="s">
        <v>64</v>
      </c>
      <c r="C121" t="s">
        <v>177</v>
      </c>
    </row>
    <row r="122" spans="1:3" x14ac:dyDescent="0.25">
      <c r="A122" t="s">
        <v>298</v>
      </c>
      <c r="B122" t="s">
        <v>135</v>
      </c>
      <c r="C122" t="s">
        <v>88</v>
      </c>
    </row>
    <row r="123" spans="1:3" x14ac:dyDescent="0.25">
      <c r="A123" t="s">
        <v>299</v>
      </c>
      <c r="B123" t="s">
        <v>136</v>
      </c>
      <c r="C123" t="s">
        <v>88</v>
      </c>
    </row>
    <row r="124" spans="1:3" x14ac:dyDescent="0.25">
      <c r="A124" t="s">
        <v>300</v>
      </c>
      <c r="B124" t="s">
        <v>108</v>
      </c>
      <c r="C124" t="s">
        <v>88</v>
      </c>
    </row>
    <row r="125" spans="1:3" x14ac:dyDescent="0.25">
      <c r="A125" t="s">
        <v>301</v>
      </c>
      <c r="B125" t="s">
        <v>137</v>
      </c>
      <c r="C125" t="s">
        <v>88</v>
      </c>
    </row>
    <row r="126" spans="1:3" x14ac:dyDescent="0.25">
      <c r="A126" t="s">
        <v>302</v>
      </c>
      <c r="B126" t="s">
        <v>138</v>
      </c>
      <c r="C126" t="s">
        <v>88</v>
      </c>
    </row>
    <row r="127" spans="1:3" x14ac:dyDescent="0.25">
      <c r="A127" t="s">
        <v>303</v>
      </c>
      <c r="B127" t="s">
        <v>139</v>
      </c>
      <c r="C127" t="s">
        <v>88</v>
      </c>
    </row>
    <row r="128" spans="1:3" x14ac:dyDescent="0.25">
      <c r="A128" t="s">
        <v>304</v>
      </c>
      <c r="B128" t="s">
        <v>165</v>
      </c>
      <c r="C128" t="s">
        <v>88</v>
      </c>
    </row>
    <row r="129" spans="1:3" x14ac:dyDescent="0.25">
      <c r="A129" t="s">
        <v>305</v>
      </c>
      <c r="B129" t="s">
        <v>140</v>
      </c>
      <c r="C129" t="s">
        <v>88</v>
      </c>
    </row>
    <row r="130" spans="1:3" x14ac:dyDescent="0.25">
      <c r="A130" t="s">
        <v>306</v>
      </c>
      <c r="B130" t="s">
        <v>65</v>
      </c>
      <c r="C130" t="s">
        <v>88</v>
      </c>
    </row>
    <row r="131" spans="1:3" x14ac:dyDescent="0.25">
      <c r="A131" t="s">
        <v>307</v>
      </c>
      <c r="B131" t="s">
        <v>68</v>
      </c>
      <c r="C131" t="s">
        <v>88</v>
      </c>
    </row>
    <row r="132" spans="1:3" x14ac:dyDescent="0.25">
      <c r="A132" t="s">
        <v>308</v>
      </c>
      <c r="B132" t="s">
        <v>109</v>
      </c>
      <c r="C132" t="s">
        <v>88</v>
      </c>
    </row>
    <row r="133" spans="1:3" x14ac:dyDescent="0.25">
      <c r="A133" t="s">
        <v>309</v>
      </c>
      <c r="B133" t="s">
        <v>10</v>
      </c>
      <c r="C133" t="s">
        <v>88</v>
      </c>
    </row>
    <row r="134" spans="1:3" x14ac:dyDescent="0.25">
      <c r="A134" t="s">
        <v>310</v>
      </c>
      <c r="B134" t="s">
        <v>69</v>
      </c>
      <c r="C134" t="s">
        <v>88</v>
      </c>
    </row>
    <row r="135" spans="1:3" x14ac:dyDescent="0.25">
      <c r="A135" t="s">
        <v>311</v>
      </c>
      <c r="B135" t="s">
        <v>110</v>
      </c>
      <c r="C135" t="s">
        <v>88</v>
      </c>
    </row>
    <row r="136" spans="1:3" x14ac:dyDescent="0.25">
      <c r="A136" t="s">
        <v>312</v>
      </c>
      <c r="B136" t="s">
        <v>111</v>
      </c>
      <c r="C136" t="s">
        <v>88</v>
      </c>
    </row>
    <row r="137" spans="1:3" x14ac:dyDescent="0.25">
      <c r="A137" t="s">
        <v>313</v>
      </c>
      <c r="B137" t="s">
        <v>70</v>
      </c>
      <c r="C137" t="s">
        <v>88</v>
      </c>
    </row>
    <row r="138" spans="1:3" x14ac:dyDescent="0.25">
      <c r="A138" t="s">
        <v>314</v>
      </c>
      <c r="B138" t="s">
        <v>112</v>
      </c>
      <c r="C138" t="s">
        <v>88</v>
      </c>
    </row>
    <row r="139" spans="1:3" x14ac:dyDescent="0.25">
      <c r="A139" t="s">
        <v>315</v>
      </c>
      <c r="B139" t="s">
        <v>7</v>
      </c>
      <c r="C139" t="s">
        <v>88</v>
      </c>
    </row>
    <row r="140" spans="1:3" x14ac:dyDescent="0.25">
      <c r="A140" t="s">
        <v>316</v>
      </c>
      <c r="B140" t="s">
        <v>141</v>
      </c>
      <c r="C140" t="s">
        <v>88</v>
      </c>
    </row>
    <row r="141" spans="1:3" x14ac:dyDescent="0.25">
      <c r="A141" t="s">
        <v>317</v>
      </c>
      <c r="B141" t="s">
        <v>66</v>
      </c>
      <c r="C141" t="s">
        <v>88</v>
      </c>
    </row>
    <row r="142" spans="1:3" x14ac:dyDescent="0.25">
      <c r="A142" t="s">
        <v>318</v>
      </c>
      <c r="B142" t="s">
        <v>71</v>
      </c>
      <c r="C142" t="s">
        <v>88</v>
      </c>
    </row>
    <row r="143" spans="1:3" x14ac:dyDescent="0.25">
      <c r="A143" t="s">
        <v>319</v>
      </c>
      <c r="B143" t="s">
        <v>143</v>
      </c>
      <c r="C143" t="s">
        <v>88</v>
      </c>
    </row>
    <row r="144" spans="1:3" x14ac:dyDescent="0.25">
      <c r="A144" t="s">
        <v>320</v>
      </c>
      <c r="B144" t="s">
        <v>166</v>
      </c>
      <c r="C144" t="s">
        <v>88</v>
      </c>
    </row>
    <row r="145" spans="1:3" x14ac:dyDescent="0.25">
      <c r="A145" t="s">
        <v>321</v>
      </c>
      <c r="B145" t="s">
        <v>51</v>
      </c>
      <c r="C145" t="s">
        <v>88</v>
      </c>
    </row>
    <row r="146" spans="1:3" x14ac:dyDescent="0.25">
      <c r="A146" t="s">
        <v>322</v>
      </c>
      <c r="B146" t="s">
        <v>72</v>
      </c>
      <c r="C146" t="s">
        <v>88</v>
      </c>
    </row>
    <row r="147" spans="1:3" x14ac:dyDescent="0.25">
      <c r="A147" t="s">
        <v>323</v>
      </c>
      <c r="B147" t="s">
        <v>73</v>
      </c>
      <c r="C147" t="s">
        <v>88</v>
      </c>
    </row>
    <row r="148" spans="1:3" x14ac:dyDescent="0.25">
      <c r="A148" t="s">
        <v>324</v>
      </c>
      <c r="B148" t="s">
        <v>74</v>
      </c>
      <c r="C148" t="s">
        <v>88</v>
      </c>
    </row>
    <row r="149" spans="1:3" x14ac:dyDescent="0.25">
      <c r="A149" t="s">
        <v>325</v>
      </c>
      <c r="B149" t="s">
        <v>75</v>
      </c>
      <c r="C149" t="s">
        <v>88</v>
      </c>
    </row>
    <row r="150" spans="1:3" x14ac:dyDescent="0.25">
      <c r="A150" t="s">
        <v>326</v>
      </c>
      <c r="B150" t="s">
        <v>167</v>
      </c>
      <c r="C150" t="s">
        <v>88</v>
      </c>
    </row>
    <row r="151" spans="1:3" x14ac:dyDescent="0.25">
      <c r="A151" t="s">
        <v>327</v>
      </c>
      <c r="B151" t="s">
        <v>168</v>
      </c>
      <c r="C151" t="s">
        <v>88</v>
      </c>
    </row>
    <row r="152" spans="1:3" x14ac:dyDescent="0.25">
      <c r="A152" t="s">
        <v>328</v>
      </c>
      <c r="B152" t="s">
        <v>76</v>
      </c>
      <c r="C152" t="s">
        <v>88</v>
      </c>
    </row>
    <row r="153" spans="1:3" x14ac:dyDescent="0.25">
      <c r="A153" t="s">
        <v>329</v>
      </c>
      <c r="B153" t="s">
        <v>77</v>
      </c>
      <c r="C153" t="s">
        <v>88</v>
      </c>
    </row>
    <row r="154" spans="1:3" x14ac:dyDescent="0.25">
      <c r="A154" t="s">
        <v>330</v>
      </c>
      <c r="B154" t="s">
        <v>169</v>
      </c>
      <c r="C154" t="s">
        <v>88</v>
      </c>
    </row>
    <row r="155" spans="1:3" x14ac:dyDescent="0.25">
      <c r="A155" t="s">
        <v>331</v>
      </c>
      <c r="B155" t="s">
        <v>78</v>
      </c>
      <c r="C155" t="s">
        <v>88</v>
      </c>
    </row>
    <row r="156" spans="1:3" x14ac:dyDescent="0.25">
      <c r="A156" t="s">
        <v>332</v>
      </c>
      <c r="B156" t="s">
        <v>79</v>
      </c>
      <c r="C156" t="s">
        <v>88</v>
      </c>
    </row>
    <row r="157" spans="1:3" x14ac:dyDescent="0.25">
      <c r="A157" t="s">
        <v>333</v>
      </c>
      <c r="B157" t="s">
        <v>80</v>
      </c>
      <c r="C157" t="s">
        <v>88</v>
      </c>
    </row>
    <row r="158" spans="1:3" x14ac:dyDescent="0.25">
      <c r="A158" t="s">
        <v>334</v>
      </c>
      <c r="B158" t="s">
        <v>81</v>
      </c>
      <c r="C158" t="s">
        <v>88</v>
      </c>
    </row>
    <row r="159" spans="1:3" x14ac:dyDescent="0.25">
      <c r="A159" t="s">
        <v>335</v>
      </c>
      <c r="B159" t="s">
        <v>82</v>
      </c>
      <c r="C159" t="s">
        <v>88</v>
      </c>
    </row>
    <row r="160" spans="1:3" x14ac:dyDescent="0.25">
      <c r="A160" t="s">
        <v>336</v>
      </c>
      <c r="B160" t="s">
        <v>83</v>
      </c>
      <c r="C160" t="s">
        <v>88</v>
      </c>
    </row>
    <row r="161" spans="1:3" x14ac:dyDescent="0.25">
      <c r="A161" t="s">
        <v>337</v>
      </c>
      <c r="B161" t="s">
        <v>47</v>
      </c>
      <c r="C161" t="s">
        <v>88</v>
      </c>
    </row>
    <row r="162" spans="1:3" x14ac:dyDescent="0.25">
      <c r="A162" t="s">
        <v>338</v>
      </c>
      <c r="B162" t="s">
        <v>142</v>
      </c>
      <c r="C162" t="s">
        <v>88</v>
      </c>
    </row>
    <row r="163" spans="1:3" x14ac:dyDescent="0.25">
      <c r="A163" t="s">
        <v>339</v>
      </c>
      <c r="B163" t="s">
        <v>84</v>
      </c>
      <c r="C163" t="s">
        <v>88</v>
      </c>
    </row>
    <row r="164" spans="1:3" x14ac:dyDescent="0.25">
      <c r="A164" t="s">
        <v>340</v>
      </c>
      <c r="B164" t="s">
        <v>85</v>
      </c>
      <c r="C164" t="s">
        <v>88</v>
      </c>
    </row>
    <row r="165" spans="1:3" x14ac:dyDescent="0.25">
      <c r="A165" t="s">
        <v>341</v>
      </c>
      <c r="B165" t="s">
        <v>86</v>
      </c>
      <c r="C165" t="s">
        <v>88</v>
      </c>
    </row>
    <row r="166" spans="1:3" x14ac:dyDescent="0.25">
      <c r="A166" t="s">
        <v>342</v>
      </c>
      <c r="B166" t="s">
        <v>87</v>
      </c>
      <c r="C166" t="s">
        <v>88</v>
      </c>
    </row>
    <row r="167" spans="1:3" x14ac:dyDescent="0.25">
      <c r="A167" t="s">
        <v>343</v>
      </c>
      <c r="B167" t="s">
        <v>170</v>
      </c>
      <c r="C167" t="s">
        <v>178</v>
      </c>
    </row>
    <row r="168" spans="1:3" x14ac:dyDescent="0.25">
      <c r="A168" t="s">
        <v>344</v>
      </c>
      <c r="B168" t="s">
        <v>40</v>
      </c>
      <c r="C168" t="s">
        <v>113</v>
      </c>
    </row>
    <row r="169" spans="1:3" x14ac:dyDescent="0.25">
      <c r="A169" t="s">
        <v>345</v>
      </c>
      <c r="B169" t="s">
        <v>41</v>
      </c>
      <c r="C169" t="s">
        <v>88</v>
      </c>
    </row>
    <row r="170" spans="1:3" x14ac:dyDescent="0.25">
      <c r="A170" t="s">
        <v>346</v>
      </c>
      <c r="B170" t="s">
        <v>42</v>
      </c>
      <c r="C170" t="s">
        <v>88</v>
      </c>
    </row>
    <row r="171" spans="1:3" x14ac:dyDescent="0.25">
      <c r="A171" t="s">
        <v>347</v>
      </c>
      <c r="B171" t="s">
        <v>171</v>
      </c>
      <c r="C171" t="s">
        <v>88</v>
      </c>
    </row>
    <row r="172" spans="1:3" x14ac:dyDescent="0.25">
      <c r="A172" t="s">
        <v>348</v>
      </c>
      <c r="B172" t="s">
        <v>172</v>
      </c>
      <c r="C172" t="s">
        <v>113</v>
      </c>
    </row>
    <row r="173" spans="1:3" x14ac:dyDescent="0.25">
      <c r="A173" t="s">
        <v>349</v>
      </c>
      <c r="B173" t="s">
        <v>173</v>
      </c>
      <c r="C173" t="s">
        <v>113</v>
      </c>
    </row>
    <row r="174" spans="1:3" x14ac:dyDescent="0.25">
      <c r="A174" t="s">
        <v>350</v>
      </c>
      <c r="B174" t="s">
        <v>174</v>
      </c>
      <c r="C174" t="s">
        <v>113</v>
      </c>
    </row>
    <row r="175" spans="1:3" x14ac:dyDescent="0.25">
      <c r="A175" t="s">
        <v>351</v>
      </c>
      <c r="B175" t="s">
        <v>175</v>
      </c>
      <c r="C175" t="s">
        <v>113</v>
      </c>
    </row>
    <row r="176" spans="1:3" x14ac:dyDescent="0.25">
      <c r="A176" t="s">
        <v>352</v>
      </c>
      <c r="B176" t="s">
        <v>176</v>
      </c>
      <c r="C176" t="s">
        <v>113</v>
      </c>
    </row>
    <row r="177" spans="1:3" x14ac:dyDescent="0.25">
      <c r="A177" t="s">
        <v>353</v>
      </c>
      <c r="B177" t="s">
        <v>43</v>
      </c>
      <c r="C177" t="s">
        <v>113</v>
      </c>
    </row>
    <row r="178" spans="1:3" x14ac:dyDescent="0.25">
      <c r="A178" t="s">
        <v>354</v>
      </c>
      <c r="B178" t="s">
        <v>44</v>
      </c>
      <c r="C178" t="s">
        <v>88</v>
      </c>
    </row>
    <row r="179" spans="1:3" x14ac:dyDescent="0.25">
      <c r="A179" s="1" t="s">
        <v>356</v>
      </c>
      <c r="B179" t="s">
        <v>357</v>
      </c>
      <c r="C179" t="s">
        <v>113</v>
      </c>
    </row>
  </sheetData>
  <autoFilter ref="A1:C179"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GENERAL</vt:lpstr>
      <vt:lpstr>Hoja1</vt:lpstr>
      <vt:lpstr>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RFlores</dc:creator>
  <cp:lastModifiedBy>rene</cp:lastModifiedBy>
  <dcterms:created xsi:type="dcterms:W3CDTF">2016-11-15T15:26:08Z</dcterms:created>
  <dcterms:modified xsi:type="dcterms:W3CDTF">2025-09-11T03:20:56Z</dcterms:modified>
</cp:coreProperties>
</file>